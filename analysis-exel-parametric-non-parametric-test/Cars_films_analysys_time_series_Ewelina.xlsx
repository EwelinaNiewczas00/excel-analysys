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welinan/Downloads/"/>
    </mc:Choice>
  </mc:AlternateContent>
  <xr:revisionPtr revIDLastSave="0" documentId="8_{9278C763-C960-0841-9F45-492352EC4EA1}" xr6:coauthVersionLast="47" xr6:coauthVersionMax="47" xr10:uidLastSave="{00000000-0000-0000-0000-000000000000}"/>
  <bookViews>
    <workbookView xWindow="28800" yWindow="620" windowWidth="38400" windowHeight="21120" activeTab="5" xr2:uid="{00000000-000D-0000-FFFF-FFFF00000000}"/>
  </bookViews>
  <sheets>
    <sheet name="cars" sheetId="1" r:id="rId1"/>
    <sheet name="Dane ilościowe dyskretne" sheetId="2" r:id="rId2"/>
    <sheet name="Dane ilościowe - sz.czasowy" sheetId="3" r:id="rId3"/>
    <sheet name="Dane ilościowe - sz. przedziało" sheetId="4" r:id="rId4"/>
    <sheet name="Skrzynka wąsy" sheetId="5" r:id="rId5"/>
    <sheet name="Histogram" sheetId="6" r:id="rId6"/>
  </sheets>
  <definedNames>
    <definedName name="_xlchart.v1.0" hidden="1">'Skrzynka wąsy'!$F$10:$F$245</definedName>
    <definedName name="_xlchart.v1.1" hidden="1">'Skrzynka wąsy'!$E$10:$E$245</definedName>
    <definedName name="_xlchart.v1.2" hidden="1">'Skrzynka wąsy'!$F$10:$F$245</definedName>
    <definedName name="_xlchart.v1.3" hidden="1">Histogram!$E$10:$E$245</definedName>
    <definedName name="_xlchart.v1.4" hidden="1">Histogram!$F$10:$F$245</definedName>
    <definedName name="_xlchart.v1.5" hidden="1">Histogram!$F$10:$F$245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53" i="6"/>
  <c r="R66" i="6"/>
  <c r="R67" i="6"/>
  <c r="R54" i="6"/>
  <c r="R55" i="6"/>
  <c r="R56" i="6"/>
  <c r="R57" i="6"/>
  <c r="R58" i="6"/>
  <c r="R59" i="6"/>
  <c r="R60" i="6"/>
  <c r="R61" i="6"/>
  <c r="R62" i="6"/>
  <c r="R63" i="6"/>
  <c r="R64" i="6"/>
  <c r="R65" i="6"/>
  <c r="R53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65" i="6"/>
  <c r="I78" i="6"/>
  <c r="I79" i="6"/>
  <c r="I80" i="6"/>
  <c r="I66" i="6"/>
  <c r="I67" i="6"/>
  <c r="I68" i="6"/>
  <c r="I69" i="6"/>
  <c r="I70" i="6"/>
  <c r="I71" i="6"/>
  <c r="I72" i="6"/>
  <c r="I73" i="6"/>
  <c r="I74" i="6"/>
  <c r="I75" i="6"/>
  <c r="I76" i="6"/>
  <c r="I77" i="6"/>
  <c r="I65" i="6"/>
  <c r="N57" i="6"/>
  <c r="N61" i="6"/>
  <c r="N60" i="6"/>
  <c r="N59" i="6"/>
  <c r="P58" i="6"/>
  <c r="N58" i="6"/>
  <c r="L12" i="4"/>
  <c r="D249" i="4"/>
  <c r="L13" i="4" s="1"/>
  <c r="D248" i="4"/>
  <c r="I20" i="4" s="1"/>
  <c r="G4" i="2"/>
  <c r="G5" i="2"/>
  <c r="G6" i="2"/>
  <c r="G7" i="2"/>
  <c r="G3" i="2"/>
  <c r="F9" i="2"/>
  <c r="F4" i="2"/>
  <c r="F5" i="2"/>
  <c r="F6" i="2"/>
  <c r="F7" i="2"/>
  <c r="F3" i="2"/>
  <c r="J20" i="4" l="1"/>
  <c r="H20" i="4" s="1"/>
  <c r="I21" i="4"/>
  <c r="J21" i="4" l="1"/>
  <c r="H21" i="4" l="1"/>
  <c r="I22" i="4"/>
  <c r="J22" i="4" l="1"/>
  <c r="H22" i="4"/>
  <c r="I23" i="4" l="1"/>
  <c r="J23" i="4" l="1"/>
  <c r="I24" i="4" l="1"/>
  <c r="H23" i="4"/>
  <c r="J24" i="4" l="1"/>
  <c r="I25" i="4" l="1"/>
  <c r="H24" i="4"/>
  <c r="J25" i="4" l="1"/>
  <c r="I26" i="4" s="1"/>
  <c r="J26" i="4" l="1"/>
  <c r="I27" i="4" s="1"/>
  <c r="H25" i="4"/>
  <c r="J27" i="4" l="1"/>
  <c r="I28" i="4" s="1"/>
  <c r="H27" i="4"/>
  <c r="H26" i="4"/>
  <c r="J28" i="4" l="1"/>
  <c r="I29" i="4" s="1"/>
  <c r="H28" i="4"/>
  <c r="J29" i="4" l="1"/>
  <c r="I30" i="4" s="1"/>
  <c r="J30" i="4" l="1"/>
  <c r="I31" i="4" s="1"/>
  <c r="H30" i="4"/>
  <c r="H29" i="4"/>
  <c r="J31" i="4" l="1"/>
  <c r="I32" i="4" s="1"/>
  <c r="J32" i="4" l="1"/>
  <c r="I33" i="4" s="1"/>
  <c r="H31" i="4"/>
  <c r="J33" i="4" l="1"/>
  <c r="I34" i="4" s="1"/>
  <c r="H32" i="4"/>
  <c r="J34" i="4" l="1"/>
  <c r="H33" i="4"/>
  <c r="L20" i="4" l="1" a="1"/>
  <c r="L20" i="4" s="1"/>
  <c r="I35" i="4"/>
  <c r="H34" i="4"/>
  <c r="M23" i="4" l="1"/>
  <c r="M32" i="4"/>
  <c r="M26" i="4"/>
  <c r="M20" i="4"/>
  <c r="M22" i="4"/>
  <c r="M25" i="4"/>
  <c r="M29" i="4"/>
  <c r="M35" i="4"/>
  <c r="N35" i="4" s="1"/>
  <c r="M30" i="4"/>
  <c r="M27" i="4"/>
  <c r="M31" i="4"/>
  <c r="M24" i="4"/>
  <c r="M28" i="4"/>
  <c r="M34" i="4"/>
  <c r="M21" i="4"/>
  <c r="M33" i="4"/>
  <c r="N33" i="4" s="1"/>
  <c r="J35" i="4"/>
  <c r="H35" i="4" s="1"/>
  <c r="N34" i="4" l="1"/>
  <c r="N28" i="4"/>
  <c r="N24" i="4"/>
  <c r="N31" i="4"/>
  <c r="N21" i="4"/>
  <c r="N22" i="4"/>
  <c r="N27" i="4"/>
  <c r="N30" i="4"/>
  <c r="N23" i="4"/>
  <c r="N29" i="4"/>
  <c r="N25" i="4"/>
  <c r="N20" i="4"/>
  <c r="N26" i="4"/>
  <c r="N3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<sst xmlns="http://schemas.openxmlformats.org/spreadsheetml/2006/main" count="164" uniqueCount="61">
  <si>
    <t>lp.</t>
  </si>
  <si>
    <t>Droga hamowania(ft)</t>
  </si>
  <si>
    <t>Prędkość (m/s)</t>
  </si>
  <si>
    <t>Źródło</t>
  </si>
  <si>
    <r>
      <t>Ezekiel, M. (1930) </t>
    </r>
    <r>
      <rPr>
        <i/>
        <sz val="14"/>
        <color rgb="FF000000"/>
        <rFont val="Times New Roman"/>
        <family val="1"/>
        <charset val="238"/>
      </rPr>
      <t>Methods of Correlation Analysis</t>
    </r>
    <r>
      <rPr>
        <sz val="14"/>
        <color rgb="FF000000"/>
        <rFont val="Times New Roman"/>
        <family val="1"/>
        <charset val="238"/>
      </rPr>
      <t>. Wiley.</t>
    </r>
  </si>
  <si>
    <t>Lp</t>
  </si>
  <si>
    <t xml:space="preserve">Opinia najlepszy gatunek filmowy </t>
  </si>
  <si>
    <t>Komedia</t>
  </si>
  <si>
    <t>Thriller</t>
  </si>
  <si>
    <t>Dramat</t>
  </si>
  <si>
    <t>Dokument</t>
  </si>
  <si>
    <t>Fantasy</t>
  </si>
  <si>
    <t>Gatunek</t>
  </si>
  <si>
    <t>Suma</t>
  </si>
  <si>
    <t>Ilość głosów</t>
  </si>
  <si>
    <t>Procent</t>
  </si>
  <si>
    <t>data</t>
  </si>
  <si>
    <t>1 EUR</t>
  </si>
  <si>
    <t>euro</t>
  </si>
  <si>
    <t xml:space="preserve">Kusy waluty Euro 2025 </t>
  </si>
  <si>
    <t>https://nbp.pl/statystyka-i-sprawozdawczosc/kursy/archiwum-tabela-a-csv-xls/</t>
  </si>
  <si>
    <t>styczeń</t>
  </si>
  <si>
    <t xml:space="preserve">luty </t>
  </si>
  <si>
    <t>marzec</t>
  </si>
  <si>
    <t>kwiecień</t>
  </si>
  <si>
    <t>maj</t>
  </si>
  <si>
    <t>czerwiec</t>
  </si>
  <si>
    <t>lipiec</t>
  </si>
  <si>
    <t>sierpień</t>
  </si>
  <si>
    <t>wrzesień</t>
  </si>
  <si>
    <t>pazdziernik</t>
  </si>
  <si>
    <t>listopad</t>
  </si>
  <si>
    <t>grudzień</t>
  </si>
  <si>
    <t>Szereg rozdzielczy przedziałowy</t>
  </si>
  <si>
    <t>Liczba przedziałów</t>
  </si>
  <si>
    <t>Rozpiętość przedziału(stała we wszystkich przedziałach)</t>
  </si>
  <si>
    <t>Lp.</t>
  </si>
  <si>
    <t>liczba obserwacji</t>
  </si>
  <si>
    <t>min</t>
  </si>
  <si>
    <t>max</t>
  </si>
  <si>
    <t xml:space="preserve">przyjmujemy </t>
  </si>
  <si>
    <t>przedzialy</t>
  </si>
  <si>
    <t>lewy koniec</t>
  </si>
  <si>
    <t>prawy koniec</t>
  </si>
  <si>
    <t>częstość</t>
  </si>
  <si>
    <t>częstość skumulowana</t>
  </si>
  <si>
    <t>względna częstość skumulowana</t>
  </si>
  <si>
    <t>Szereg rozdzielczy został poprawnie utworzony na podstawie 236 notowań kursu EURO, przyjęto 16 przedziałów, a błędy w kolumnach procentowych zostały skorygowane (suma częstości względnych wynosi 100,0%</t>
  </si>
  <si>
    <r>
      <t>Mediana kursu (linia wewnątrz ramki) znajduje się w pobliżu </t>
    </r>
    <r>
      <rPr>
        <sz val="10"/>
        <color rgb="FF000000"/>
        <rFont val="Calibri"/>
        <family val="2"/>
        <charset val="238"/>
        <scheme val="minor"/>
      </rPr>
      <t>4,25 PLN</t>
    </r>
    <r>
      <rPr>
        <sz val="10"/>
        <color rgb="FF000000"/>
        <rFont val="-webkit-standard"/>
      </rPr>
      <t xml:space="preserve">. Oznacza to, że ok </t>
    </r>
    <r>
      <rPr>
        <sz val="10"/>
        <color rgb="FF000000"/>
        <rFont val="Calibri"/>
        <family val="2"/>
        <charset val="238"/>
        <scheme val="minor"/>
      </rPr>
      <t>50%</t>
    </r>
    <r>
      <rPr>
        <sz val="10"/>
        <color rgb="FF000000"/>
        <rFont val="-webkit-standard"/>
      </rPr>
      <t> wszystkich obserwacji  kursu EUR0 w PLN w badanym okresie było niższych od tej wartości, a pozostałe 50% wyższych.</t>
    </r>
  </si>
  <si>
    <r>
      <t>Środkowe </t>
    </r>
    <r>
      <rPr>
        <sz val="10"/>
        <color rgb="FF000000"/>
        <rFont val="Calibri"/>
        <family val="2"/>
        <charset val="238"/>
        <scheme val="minor"/>
      </rPr>
      <t>50%</t>
    </r>
    <r>
      <rPr>
        <sz val="10"/>
        <color rgb="FF000000"/>
        <rFont val="-webkit-standard"/>
      </rPr>
      <t> notowań charakteryzuje się </t>
    </r>
    <r>
      <rPr>
        <sz val="10"/>
        <color rgb="FF000000"/>
        <rFont val="Calibri"/>
        <family val="2"/>
        <charset val="238"/>
        <scheme val="minor"/>
      </rPr>
      <t>niewielkim zróżnicowaniem</t>
    </r>
    <r>
      <rPr>
        <sz val="10"/>
        <color rgb="FF000000"/>
        <rFont val="-webkit-standard"/>
      </rPr>
      <t> i jest mocno skupione w tym wąskim zakresie</t>
    </r>
  </si>
  <si>
    <r>
      <t>Rozkład notowań jest </t>
    </r>
    <r>
      <rPr>
        <sz val="10"/>
        <color rgb="FF000000"/>
        <rFont val="Calibri"/>
        <family val="2"/>
        <charset val="238"/>
        <scheme val="minor"/>
      </rPr>
      <t>asymetryczny (ukośny) z tendencją lewostronną (ujemną)</t>
    </r>
    <r>
      <rPr>
        <sz val="10"/>
        <color rgb="FF000000"/>
        <rFont val="-webkit-standard"/>
      </rPr>
      <t>. Oznacza to, że notowania są </t>
    </r>
    <r>
      <rPr>
        <sz val="10"/>
        <color rgb="FF000000"/>
        <rFont val="Calibri"/>
        <family val="2"/>
        <charset val="238"/>
        <scheme val="minor"/>
      </rPr>
      <t>skupione na wyższych kursach</t>
    </r>
    <r>
      <rPr>
        <sz val="10"/>
        <color rgb="FF000000"/>
        <rFont val="-webkit-standard"/>
      </rPr>
      <t>, a rzadsze, niskie kursy są bardziej rozproszone i tworzą kropki  w lewo.</t>
    </r>
  </si>
  <si>
    <t>Istnieją też notowania minimelna około 4,20, które znacząco odbiegają.</t>
  </si>
  <si>
    <t>ilosc obserwacji</t>
  </si>
  <si>
    <t>numer przedziału</t>
  </si>
  <si>
    <t xml:space="preserve">prawy koniec </t>
  </si>
  <si>
    <t>zbior danych koszyk</t>
  </si>
  <si>
    <t>Częstość</t>
  </si>
  <si>
    <t>Więcej</t>
  </si>
  <si>
    <t>wsp. Korelacji</t>
  </si>
  <si>
    <t>silna korelacja</t>
  </si>
  <si>
    <t>Pomiędzy prędkością samochodu a drogą hamowania istnieje silna, dodatnia zależność liniowa. Oznacza to, że im wyższa jest prędkość pojazdu, tym dłuższa jest wymagana droga hamowania.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</si>
</sst>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0.0000"/>
    <numFmt numFmtId="166" formatCode="0.0000"/>
    <numFmt numFmtId="167" formatCode="0.000"/>
    <numFmt numFmtId="168" formatCode="#0.000"/>
  </numFmts>
  <fonts count="3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4"/>
      <color rgb="FF000000"/>
      <name val="Times New Roman"/>
      <family val="1"/>
      <charset val="238"/>
    </font>
    <font>
      <i/>
      <sz val="14"/>
      <color rgb="FF000000"/>
      <name val="Times New Roman"/>
      <family val="1"/>
      <charset val="238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-webkit-standard"/>
      <charset val="238"/>
    </font>
    <font>
      <sz val="10"/>
      <color rgb="FF000000"/>
      <name val="Calibri"/>
      <family val="2"/>
      <charset val="238"/>
      <scheme val="minor"/>
    </font>
    <font>
      <sz val="10"/>
      <color rgb="FF000000"/>
      <name val="-webkit-standard"/>
    </font>
    <font>
      <sz val="10"/>
      <color theme="1"/>
      <name val="Calibri"/>
      <family val="2"/>
      <charset val="23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33" borderId="0" xfId="0" applyFill="1"/>
    <xf numFmtId="0" fontId="18" fillId="33" borderId="0" xfId="0" applyFont="1" applyFill="1"/>
    <xf numFmtId="0" fontId="16" fillId="0" borderId="0" xfId="0" applyFont="1"/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9" fontId="0" fillId="0" borderId="0" xfId="0" applyNumberFormat="1"/>
    <xf numFmtId="0" fontId="24" fillId="0" borderId="0" xfId="0" applyFont="1" applyAlignment="1">
      <alignment horizontal="center"/>
    </xf>
    <xf numFmtId="165" fontId="24" fillId="0" borderId="0" xfId="0" applyNumberFormat="1" applyFont="1"/>
    <xf numFmtId="0" fontId="24" fillId="0" borderId="10" xfId="0" applyFont="1" applyBorder="1" applyAlignment="1">
      <alignment horizontal="center"/>
    </xf>
    <xf numFmtId="165" fontId="24" fillId="0" borderId="10" xfId="0" applyNumberFormat="1" applyFont="1" applyBorder="1"/>
    <xf numFmtId="0" fontId="24" fillId="33" borderId="10" xfId="0" applyFont="1" applyFill="1" applyBorder="1" applyAlignment="1">
      <alignment horizontal="center"/>
    </xf>
    <xf numFmtId="0" fontId="24" fillId="34" borderId="10" xfId="0" applyFont="1" applyFill="1" applyBorder="1" applyAlignment="1">
      <alignment horizontal="center"/>
    </xf>
    <xf numFmtId="14" fontId="24" fillId="0" borderId="10" xfId="0" applyNumberFormat="1" applyFont="1" applyBorder="1"/>
    <xf numFmtId="0" fontId="23" fillId="0" borderId="0" xfId="0" applyFont="1"/>
    <xf numFmtId="165" fontId="0" fillId="0" borderId="0" xfId="0" applyNumberFormat="1"/>
    <xf numFmtId="0" fontId="25" fillId="34" borderId="10" xfId="0" applyFont="1" applyFill="1" applyBorder="1" applyAlignment="1">
      <alignment horizontal="center"/>
    </xf>
    <xf numFmtId="0" fontId="0" fillId="0" borderId="10" xfId="0" applyBorder="1"/>
    <xf numFmtId="0" fontId="23" fillId="0" borderId="10" xfId="0" applyFont="1" applyBorder="1"/>
    <xf numFmtId="167" fontId="0" fillId="0" borderId="10" xfId="0" applyNumberFormat="1" applyBorder="1"/>
    <xf numFmtId="2" fontId="0" fillId="0" borderId="10" xfId="0" applyNumberFormat="1" applyBorder="1"/>
    <xf numFmtId="168" fontId="0" fillId="0" borderId="10" xfId="0" applyNumberFormat="1" applyBorder="1"/>
    <xf numFmtId="0" fontId="0" fillId="35" borderId="10" xfId="0" applyFill="1" applyBorder="1"/>
    <xf numFmtId="166" fontId="0" fillId="35" borderId="10" xfId="0" applyNumberFormat="1" applyFill="1" applyBorder="1"/>
    <xf numFmtId="0" fontId="23" fillId="35" borderId="10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23" fillId="36" borderId="0" xfId="0" applyFont="1" applyFill="1"/>
    <xf numFmtId="10" fontId="0" fillId="36" borderId="0" xfId="0" applyNumberFormat="1" applyFill="1"/>
    <xf numFmtId="0" fontId="2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42" applyNumberFormat="1" applyFont="1" applyBorder="1" applyAlignment="1">
      <alignment horizontal="center"/>
    </xf>
    <xf numFmtId="0" fontId="26" fillId="0" borderId="0" xfId="0" applyFont="1"/>
    <xf numFmtId="0" fontId="29" fillId="0" borderId="0" xfId="0" applyFont="1"/>
    <xf numFmtId="0" fontId="0" fillId="36" borderId="10" xfId="0" applyFill="1" applyBorder="1"/>
    <xf numFmtId="0" fontId="23" fillId="36" borderId="10" xfId="0" applyFont="1" applyFill="1" applyBorder="1" applyAlignment="1">
      <alignment horizontal="left"/>
    </xf>
    <xf numFmtId="0" fontId="14" fillId="36" borderId="10" xfId="0" applyFont="1" applyFill="1" applyBorder="1"/>
    <xf numFmtId="166" fontId="0" fillId="36" borderId="10" xfId="0" applyNumberFormat="1" applyFill="1" applyBorder="1"/>
    <xf numFmtId="2" fontId="0" fillId="0" borderId="0" xfId="0" applyNumberFormat="1"/>
    <xf numFmtId="9" fontId="0" fillId="0" borderId="0" xfId="42" applyFon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cars!$B$2:$B$51</c:f>
              <c:numCache>
                <c:formatCode>General</c:formatCode>
                <c:ptCount val="50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</c:numCache>
            </c:numRef>
          </c:xVal>
          <c:yVal>
            <c:numRef>
              <c:f>cars!$C$2:$C$51</c:f>
              <c:numCache>
                <c:formatCode>General</c:formatCode>
                <c:ptCount val="50"/>
                <c:pt idx="0">
                  <c:v>2</c:v>
                </c:pt>
                <c:pt idx="1">
                  <c:v>10</c:v>
                </c:pt>
                <c:pt idx="2">
                  <c:v>4</c:v>
                </c:pt>
                <c:pt idx="3">
                  <c:v>22</c:v>
                </c:pt>
                <c:pt idx="4">
                  <c:v>16</c:v>
                </c:pt>
                <c:pt idx="5">
                  <c:v>10</c:v>
                </c:pt>
                <c:pt idx="6">
                  <c:v>18</c:v>
                </c:pt>
                <c:pt idx="7">
                  <c:v>26</c:v>
                </c:pt>
                <c:pt idx="8">
                  <c:v>34</c:v>
                </c:pt>
                <c:pt idx="9">
                  <c:v>17</c:v>
                </c:pt>
                <c:pt idx="10">
                  <c:v>28</c:v>
                </c:pt>
                <c:pt idx="11">
                  <c:v>14</c:v>
                </c:pt>
                <c:pt idx="12">
                  <c:v>20</c:v>
                </c:pt>
                <c:pt idx="13">
                  <c:v>24</c:v>
                </c:pt>
                <c:pt idx="14">
                  <c:v>28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46</c:v>
                </c:pt>
                <c:pt idx="19">
                  <c:v>26</c:v>
                </c:pt>
                <c:pt idx="20">
                  <c:v>36</c:v>
                </c:pt>
                <c:pt idx="21">
                  <c:v>60</c:v>
                </c:pt>
                <c:pt idx="22">
                  <c:v>80</c:v>
                </c:pt>
                <c:pt idx="23">
                  <c:v>20</c:v>
                </c:pt>
                <c:pt idx="24">
                  <c:v>26</c:v>
                </c:pt>
                <c:pt idx="25">
                  <c:v>54</c:v>
                </c:pt>
                <c:pt idx="26">
                  <c:v>32</c:v>
                </c:pt>
                <c:pt idx="27">
                  <c:v>40</c:v>
                </c:pt>
                <c:pt idx="28">
                  <c:v>32</c:v>
                </c:pt>
                <c:pt idx="29">
                  <c:v>40</c:v>
                </c:pt>
                <c:pt idx="30">
                  <c:v>50</c:v>
                </c:pt>
                <c:pt idx="31">
                  <c:v>42</c:v>
                </c:pt>
                <c:pt idx="32">
                  <c:v>56</c:v>
                </c:pt>
                <c:pt idx="33">
                  <c:v>76</c:v>
                </c:pt>
                <c:pt idx="34">
                  <c:v>84</c:v>
                </c:pt>
                <c:pt idx="35">
                  <c:v>36</c:v>
                </c:pt>
                <c:pt idx="36">
                  <c:v>46</c:v>
                </c:pt>
                <c:pt idx="37">
                  <c:v>68</c:v>
                </c:pt>
                <c:pt idx="38">
                  <c:v>32</c:v>
                </c:pt>
                <c:pt idx="39">
                  <c:v>48</c:v>
                </c:pt>
                <c:pt idx="40">
                  <c:v>52</c:v>
                </c:pt>
                <c:pt idx="41">
                  <c:v>56</c:v>
                </c:pt>
                <c:pt idx="42">
                  <c:v>64</c:v>
                </c:pt>
                <c:pt idx="43">
                  <c:v>66</c:v>
                </c:pt>
                <c:pt idx="44">
                  <c:v>54</c:v>
                </c:pt>
                <c:pt idx="45">
                  <c:v>70</c:v>
                </c:pt>
                <c:pt idx="46">
                  <c:v>92</c:v>
                </c:pt>
                <c:pt idx="47">
                  <c:v>93</c:v>
                </c:pt>
                <c:pt idx="48">
                  <c:v>120</c:v>
                </c:pt>
                <c:pt idx="4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1-124F-9F3A-2129BFAD8C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77962255"/>
        <c:axId val="650724335"/>
      </c:scatterChart>
      <c:valAx>
        <c:axId val="117796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0724335"/>
        <c:crosses val="autoZero"/>
        <c:crossBetween val="midCat"/>
      </c:valAx>
      <c:valAx>
        <c:axId val="65072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796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cars!$B$2:$B$51</c:f>
              <c:numCache>
                <c:formatCode>General</c:formatCode>
                <c:ptCount val="50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</c:numCache>
            </c:numRef>
          </c:xVal>
          <c:yVal>
            <c:numRef>
              <c:f>cars!$C$2:$C$51</c:f>
              <c:numCache>
                <c:formatCode>General</c:formatCode>
                <c:ptCount val="50"/>
                <c:pt idx="0">
                  <c:v>2</c:v>
                </c:pt>
                <c:pt idx="1">
                  <c:v>10</c:v>
                </c:pt>
                <c:pt idx="2">
                  <c:v>4</c:v>
                </c:pt>
                <c:pt idx="3">
                  <c:v>22</c:v>
                </c:pt>
                <c:pt idx="4">
                  <c:v>16</c:v>
                </c:pt>
                <c:pt idx="5">
                  <c:v>10</c:v>
                </c:pt>
                <c:pt idx="6">
                  <c:v>18</c:v>
                </c:pt>
                <c:pt idx="7">
                  <c:v>26</c:v>
                </c:pt>
                <c:pt idx="8">
                  <c:v>34</c:v>
                </c:pt>
                <c:pt idx="9">
                  <c:v>17</c:v>
                </c:pt>
                <c:pt idx="10">
                  <c:v>28</c:v>
                </c:pt>
                <c:pt idx="11">
                  <c:v>14</c:v>
                </c:pt>
                <c:pt idx="12">
                  <c:v>20</c:v>
                </c:pt>
                <c:pt idx="13">
                  <c:v>24</c:v>
                </c:pt>
                <c:pt idx="14">
                  <c:v>28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46</c:v>
                </c:pt>
                <c:pt idx="19">
                  <c:v>26</c:v>
                </c:pt>
                <c:pt idx="20">
                  <c:v>36</c:v>
                </c:pt>
                <c:pt idx="21">
                  <c:v>60</c:v>
                </c:pt>
                <c:pt idx="22">
                  <c:v>80</c:v>
                </c:pt>
                <c:pt idx="23">
                  <c:v>20</c:v>
                </c:pt>
                <c:pt idx="24">
                  <c:v>26</c:v>
                </c:pt>
                <c:pt idx="25">
                  <c:v>54</c:v>
                </c:pt>
                <c:pt idx="26">
                  <c:v>32</c:v>
                </c:pt>
                <c:pt idx="27">
                  <c:v>40</c:v>
                </c:pt>
                <c:pt idx="28">
                  <c:v>32</c:v>
                </c:pt>
                <c:pt idx="29">
                  <c:v>40</c:v>
                </c:pt>
                <c:pt idx="30">
                  <c:v>50</c:v>
                </c:pt>
                <c:pt idx="31">
                  <c:v>42</c:v>
                </c:pt>
                <c:pt idx="32">
                  <c:v>56</c:v>
                </c:pt>
                <c:pt idx="33">
                  <c:v>76</c:v>
                </c:pt>
                <c:pt idx="34">
                  <c:v>84</c:v>
                </c:pt>
                <c:pt idx="35">
                  <c:v>36</c:v>
                </c:pt>
                <c:pt idx="36">
                  <c:v>46</c:v>
                </c:pt>
                <c:pt idx="37">
                  <c:v>68</c:v>
                </c:pt>
                <c:pt idx="38">
                  <c:v>32</c:v>
                </c:pt>
                <c:pt idx="39">
                  <c:v>48</c:v>
                </c:pt>
                <c:pt idx="40">
                  <c:v>52</c:v>
                </c:pt>
                <c:pt idx="41">
                  <c:v>56</c:v>
                </c:pt>
                <c:pt idx="42">
                  <c:v>64</c:v>
                </c:pt>
                <c:pt idx="43">
                  <c:v>66</c:v>
                </c:pt>
                <c:pt idx="44">
                  <c:v>54</c:v>
                </c:pt>
                <c:pt idx="45">
                  <c:v>70</c:v>
                </c:pt>
                <c:pt idx="46">
                  <c:v>92</c:v>
                </c:pt>
                <c:pt idx="47">
                  <c:v>93</c:v>
                </c:pt>
                <c:pt idx="48">
                  <c:v>120</c:v>
                </c:pt>
                <c:pt idx="4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1-A349-8437-A5BD789D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071183"/>
        <c:axId val="1316995295"/>
      </c:scatterChart>
      <c:valAx>
        <c:axId val="109107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6995295"/>
        <c:crosses val="autoZero"/>
        <c:crossBetween val="midCat"/>
      </c:valAx>
      <c:valAx>
        <c:axId val="13169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9107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Ilość głosów ulubiony film - struktura głosowania</a:t>
            </a:r>
          </a:p>
        </c:rich>
      </c:tx>
      <c:layout>
        <c:manualLayout>
          <c:xMode val="edge"/>
          <c:yMode val="edge"/>
          <c:x val="0.27596501156041325"/>
          <c:y val="2.9795158286778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'Dane ilościowe dyskretne'!$F$2</c:f>
              <c:strCache>
                <c:ptCount val="1"/>
                <c:pt idx="0">
                  <c:v>Ilość głosów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'Dane ilościowe dyskretne'!$E$3:$E$7</c:f>
              <c:strCache>
                <c:ptCount val="5"/>
                <c:pt idx="0">
                  <c:v>Komedia</c:v>
                </c:pt>
                <c:pt idx="1">
                  <c:v>Thriller</c:v>
                </c:pt>
                <c:pt idx="2">
                  <c:v>Dramat</c:v>
                </c:pt>
                <c:pt idx="3">
                  <c:v>Dokument</c:v>
                </c:pt>
                <c:pt idx="4">
                  <c:v>Fantasy</c:v>
                </c:pt>
              </c:strCache>
            </c:strRef>
          </c:cat>
          <c:val>
            <c:numRef>
              <c:f>'Dane ilościowe dyskretne'!$F$3:$F$7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14</c:v>
                </c:pt>
                <c:pt idx="3">
                  <c:v>11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9-8E46-8C70-7A25D1087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933263"/>
        <c:axId val="640934975"/>
      </c:barChart>
      <c:catAx>
        <c:axId val="64093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0934975"/>
        <c:crosses val="autoZero"/>
        <c:auto val="1"/>
        <c:lblAlgn val="ctr"/>
        <c:lblOffset val="100"/>
        <c:noMultiLvlLbl val="0"/>
      </c:catAx>
      <c:valAx>
        <c:axId val="64093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093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Ilość głosów ulubiony film - struktura głosowania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'Dane ilościowe dyskretne'!$F$2</c:f>
              <c:strCache>
                <c:ptCount val="1"/>
                <c:pt idx="0">
                  <c:v>Ilość głosów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EE-D84A-91D0-26847AE3A9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EE-D84A-91D0-26847AE3A9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EE-D84A-91D0-26847AE3A9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EE-D84A-91D0-26847AE3A9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EE-D84A-91D0-26847AE3A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'Dane ilościowe dyskretne'!$E$3:$E$7</c:f>
              <c:strCache>
                <c:ptCount val="5"/>
                <c:pt idx="0">
                  <c:v>Komedia</c:v>
                </c:pt>
                <c:pt idx="1">
                  <c:v>Thriller</c:v>
                </c:pt>
                <c:pt idx="2">
                  <c:v>Dramat</c:v>
                </c:pt>
                <c:pt idx="3">
                  <c:v>Dokument</c:v>
                </c:pt>
                <c:pt idx="4">
                  <c:v>Fantasy</c:v>
                </c:pt>
              </c:strCache>
            </c:strRef>
          </c:cat>
          <c:val>
            <c:numRef>
              <c:f>'Dane ilościowe dyskretne'!$F$3:$F$7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14</c:v>
                </c:pt>
                <c:pt idx="3">
                  <c:v>11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9-2642-884C-F2F73421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EUR euro kurs zmiana kształtująca się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'Dane ilościowe - sz.czasowy'!$D$7:$D$8</c:f>
              <c:strCache>
                <c:ptCount val="2"/>
                <c:pt idx="0">
                  <c:v>1 EUR</c:v>
                </c:pt>
                <c:pt idx="1">
                  <c:v>euro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'Dane ilościowe - sz.czasowy'!$C$9:$C$244</c:f>
              <c:numCache>
                <c:formatCode>m/d/yy</c:formatCode>
                <c:ptCount val="236"/>
                <c:pt idx="0">
                  <c:v>45659</c:v>
                </c:pt>
                <c:pt idx="1">
                  <c:v>45660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45677</c:v>
                </c:pt>
                <c:pt idx="12">
                  <c:v>45678</c:v>
                </c:pt>
                <c:pt idx="13">
                  <c:v>45679</c:v>
                </c:pt>
                <c:pt idx="14">
                  <c:v>45680</c:v>
                </c:pt>
                <c:pt idx="15">
                  <c:v>45681</c:v>
                </c:pt>
                <c:pt idx="16">
                  <c:v>45684</c:v>
                </c:pt>
                <c:pt idx="17">
                  <c:v>45685</c:v>
                </c:pt>
                <c:pt idx="18">
                  <c:v>45686</c:v>
                </c:pt>
                <c:pt idx="19">
                  <c:v>45687</c:v>
                </c:pt>
                <c:pt idx="20">
                  <c:v>45688</c:v>
                </c:pt>
                <c:pt idx="21">
                  <c:v>45691</c:v>
                </c:pt>
                <c:pt idx="22">
                  <c:v>45692</c:v>
                </c:pt>
                <c:pt idx="23">
                  <c:v>45693</c:v>
                </c:pt>
                <c:pt idx="24">
                  <c:v>45694</c:v>
                </c:pt>
                <c:pt idx="25">
                  <c:v>45695</c:v>
                </c:pt>
                <c:pt idx="26">
                  <c:v>45698</c:v>
                </c:pt>
                <c:pt idx="27">
                  <c:v>45699</c:v>
                </c:pt>
                <c:pt idx="28">
                  <c:v>45700</c:v>
                </c:pt>
                <c:pt idx="29">
                  <c:v>45701</c:v>
                </c:pt>
                <c:pt idx="30">
                  <c:v>45702</c:v>
                </c:pt>
                <c:pt idx="31">
                  <c:v>45705</c:v>
                </c:pt>
                <c:pt idx="32">
                  <c:v>45706</c:v>
                </c:pt>
                <c:pt idx="33">
                  <c:v>45707</c:v>
                </c:pt>
                <c:pt idx="34">
                  <c:v>45708</c:v>
                </c:pt>
                <c:pt idx="35">
                  <c:v>45709</c:v>
                </c:pt>
                <c:pt idx="36">
                  <c:v>45712</c:v>
                </c:pt>
                <c:pt idx="37">
                  <c:v>45713</c:v>
                </c:pt>
                <c:pt idx="38">
                  <c:v>45714</c:v>
                </c:pt>
                <c:pt idx="39">
                  <c:v>45715</c:v>
                </c:pt>
                <c:pt idx="40">
                  <c:v>45716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45726</c:v>
                </c:pt>
                <c:pt idx="47">
                  <c:v>45727</c:v>
                </c:pt>
                <c:pt idx="48">
                  <c:v>45728</c:v>
                </c:pt>
                <c:pt idx="49">
                  <c:v>45729</c:v>
                </c:pt>
                <c:pt idx="50">
                  <c:v>45730</c:v>
                </c:pt>
                <c:pt idx="51">
                  <c:v>45733</c:v>
                </c:pt>
                <c:pt idx="52">
                  <c:v>45734</c:v>
                </c:pt>
                <c:pt idx="53">
                  <c:v>45735</c:v>
                </c:pt>
                <c:pt idx="54">
                  <c:v>45736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45747</c:v>
                </c:pt>
                <c:pt idx="62">
                  <c:v>45748</c:v>
                </c:pt>
                <c:pt idx="63">
                  <c:v>45749</c:v>
                </c:pt>
                <c:pt idx="64">
                  <c:v>45750</c:v>
                </c:pt>
                <c:pt idx="65">
                  <c:v>45751</c:v>
                </c:pt>
                <c:pt idx="66">
                  <c:v>45754</c:v>
                </c:pt>
                <c:pt idx="67">
                  <c:v>45755</c:v>
                </c:pt>
                <c:pt idx="68">
                  <c:v>45756</c:v>
                </c:pt>
                <c:pt idx="69">
                  <c:v>45757</c:v>
                </c:pt>
                <c:pt idx="70">
                  <c:v>45758</c:v>
                </c:pt>
                <c:pt idx="71">
                  <c:v>45761</c:v>
                </c:pt>
                <c:pt idx="72">
                  <c:v>45762</c:v>
                </c:pt>
                <c:pt idx="73">
                  <c:v>45763</c:v>
                </c:pt>
                <c:pt idx="74">
                  <c:v>45764</c:v>
                </c:pt>
                <c:pt idx="75">
                  <c:v>45765</c:v>
                </c:pt>
                <c:pt idx="76">
                  <c:v>45769</c:v>
                </c:pt>
                <c:pt idx="77">
                  <c:v>45770</c:v>
                </c:pt>
                <c:pt idx="78">
                  <c:v>45771</c:v>
                </c:pt>
                <c:pt idx="79">
                  <c:v>45772</c:v>
                </c:pt>
                <c:pt idx="80">
                  <c:v>45775</c:v>
                </c:pt>
                <c:pt idx="81">
                  <c:v>45776</c:v>
                </c:pt>
                <c:pt idx="82">
                  <c:v>45777</c:v>
                </c:pt>
                <c:pt idx="83">
                  <c:v>45779</c:v>
                </c:pt>
                <c:pt idx="84">
                  <c:v>45782</c:v>
                </c:pt>
                <c:pt idx="85">
                  <c:v>45783</c:v>
                </c:pt>
                <c:pt idx="86">
                  <c:v>45784</c:v>
                </c:pt>
                <c:pt idx="87">
                  <c:v>45785</c:v>
                </c:pt>
                <c:pt idx="88">
                  <c:v>45786</c:v>
                </c:pt>
                <c:pt idx="89">
                  <c:v>45789</c:v>
                </c:pt>
                <c:pt idx="90">
                  <c:v>45790</c:v>
                </c:pt>
                <c:pt idx="91">
                  <c:v>45791</c:v>
                </c:pt>
                <c:pt idx="92">
                  <c:v>45792</c:v>
                </c:pt>
                <c:pt idx="93">
                  <c:v>45793</c:v>
                </c:pt>
                <c:pt idx="94">
                  <c:v>45796</c:v>
                </c:pt>
                <c:pt idx="95">
                  <c:v>45797</c:v>
                </c:pt>
                <c:pt idx="96">
                  <c:v>45798</c:v>
                </c:pt>
                <c:pt idx="97">
                  <c:v>45799</c:v>
                </c:pt>
                <c:pt idx="98">
                  <c:v>45800</c:v>
                </c:pt>
                <c:pt idx="99">
                  <c:v>45803</c:v>
                </c:pt>
                <c:pt idx="100">
                  <c:v>45804</c:v>
                </c:pt>
                <c:pt idx="101">
                  <c:v>45805</c:v>
                </c:pt>
                <c:pt idx="102">
                  <c:v>45806</c:v>
                </c:pt>
                <c:pt idx="103">
                  <c:v>45807</c:v>
                </c:pt>
                <c:pt idx="104">
                  <c:v>45810</c:v>
                </c:pt>
                <c:pt idx="105">
                  <c:v>45811</c:v>
                </c:pt>
                <c:pt idx="106">
                  <c:v>45812</c:v>
                </c:pt>
                <c:pt idx="107">
                  <c:v>45813</c:v>
                </c:pt>
                <c:pt idx="108">
                  <c:v>45814</c:v>
                </c:pt>
                <c:pt idx="109">
                  <c:v>45817</c:v>
                </c:pt>
                <c:pt idx="110">
                  <c:v>45818</c:v>
                </c:pt>
                <c:pt idx="111">
                  <c:v>45819</c:v>
                </c:pt>
                <c:pt idx="112">
                  <c:v>45820</c:v>
                </c:pt>
                <c:pt idx="113">
                  <c:v>45821</c:v>
                </c:pt>
                <c:pt idx="114">
                  <c:v>45824</c:v>
                </c:pt>
                <c:pt idx="115">
                  <c:v>45825</c:v>
                </c:pt>
                <c:pt idx="116">
                  <c:v>45826</c:v>
                </c:pt>
                <c:pt idx="117">
                  <c:v>45828</c:v>
                </c:pt>
                <c:pt idx="118">
                  <c:v>45831</c:v>
                </c:pt>
                <c:pt idx="119">
                  <c:v>45832</c:v>
                </c:pt>
                <c:pt idx="120">
                  <c:v>45833</c:v>
                </c:pt>
                <c:pt idx="121">
                  <c:v>45834</c:v>
                </c:pt>
                <c:pt idx="122">
                  <c:v>45835</c:v>
                </c:pt>
                <c:pt idx="123">
                  <c:v>45838</c:v>
                </c:pt>
                <c:pt idx="124">
                  <c:v>45839</c:v>
                </c:pt>
                <c:pt idx="125">
                  <c:v>45840</c:v>
                </c:pt>
                <c:pt idx="126">
                  <c:v>45841</c:v>
                </c:pt>
                <c:pt idx="127">
                  <c:v>45842</c:v>
                </c:pt>
                <c:pt idx="128">
                  <c:v>45845</c:v>
                </c:pt>
                <c:pt idx="129">
                  <c:v>45846</c:v>
                </c:pt>
                <c:pt idx="130">
                  <c:v>45847</c:v>
                </c:pt>
                <c:pt idx="131">
                  <c:v>45848</c:v>
                </c:pt>
                <c:pt idx="132">
                  <c:v>45849</c:v>
                </c:pt>
                <c:pt idx="133">
                  <c:v>45852</c:v>
                </c:pt>
                <c:pt idx="134">
                  <c:v>45853</c:v>
                </c:pt>
                <c:pt idx="135">
                  <c:v>45854</c:v>
                </c:pt>
                <c:pt idx="136">
                  <c:v>45855</c:v>
                </c:pt>
                <c:pt idx="137">
                  <c:v>45856</c:v>
                </c:pt>
                <c:pt idx="138">
                  <c:v>45859</c:v>
                </c:pt>
                <c:pt idx="139">
                  <c:v>45860</c:v>
                </c:pt>
                <c:pt idx="140">
                  <c:v>45861</c:v>
                </c:pt>
                <c:pt idx="141">
                  <c:v>45862</c:v>
                </c:pt>
                <c:pt idx="142">
                  <c:v>45863</c:v>
                </c:pt>
                <c:pt idx="143">
                  <c:v>45866</c:v>
                </c:pt>
                <c:pt idx="144">
                  <c:v>45867</c:v>
                </c:pt>
                <c:pt idx="145">
                  <c:v>45868</c:v>
                </c:pt>
                <c:pt idx="146">
                  <c:v>45869</c:v>
                </c:pt>
                <c:pt idx="147">
                  <c:v>45870</c:v>
                </c:pt>
                <c:pt idx="148">
                  <c:v>45873</c:v>
                </c:pt>
                <c:pt idx="149">
                  <c:v>45874</c:v>
                </c:pt>
                <c:pt idx="150">
                  <c:v>45875</c:v>
                </c:pt>
                <c:pt idx="151">
                  <c:v>45876</c:v>
                </c:pt>
                <c:pt idx="152">
                  <c:v>45877</c:v>
                </c:pt>
                <c:pt idx="153">
                  <c:v>45880</c:v>
                </c:pt>
                <c:pt idx="154">
                  <c:v>45881</c:v>
                </c:pt>
                <c:pt idx="155">
                  <c:v>45882</c:v>
                </c:pt>
                <c:pt idx="156">
                  <c:v>45883</c:v>
                </c:pt>
                <c:pt idx="157">
                  <c:v>45887</c:v>
                </c:pt>
                <c:pt idx="158">
                  <c:v>45888</c:v>
                </c:pt>
                <c:pt idx="159">
                  <c:v>45889</c:v>
                </c:pt>
                <c:pt idx="160">
                  <c:v>45890</c:v>
                </c:pt>
                <c:pt idx="161">
                  <c:v>45891</c:v>
                </c:pt>
                <c:pt idx="162">
                  <c:v>45894</c:v>
                </c:pt>
                <c:pt idx="163">
                  <c:v>45895</c:v>
                </c:pt>
                <c:pt idx="164">
                  <c:v>45896</c:v>
                </c:pt>
                <c:pt idx="165">
                  <c:v>45897</c:v>
                </c:pt>
                <c:pt idx="166">
                  <c:v>45898</c:v>
                </c:pt>
                <c:pt idx="167">
                  <c:v>45901</c:v>
                </c:pt>
                <c:pt idx="168">
                  <c:v>45902</c:v>
                </c:pt>
                <c:pt idx="169">
                  <c:v>45903</c:v>
                </c:pt>
                <c:pt idx="170">
                  <c:v>45904</c:v>
                </c:pt>
                <c:pt idx="171">
                  <c:v>45905</c:v>
                </c:pt>
                <c:pt idx="172">
                  <c:v>45908</c:v>
                </c:pt>
                <c:pt idx="173">
                  <c:v>45909</c:v>
                </c:pt>
                <c:pt idx="174">
                  <c:v>45910</c:v>
                </c:pt>
                <c:pt idx="175">
                  <c:v>45911</c:v>
                </c:pt>
                <c:pt idx="176">
                  <c:v>45912</c:v>
                </c:pt>
                <c:pt idx="177">
                  <c:v>45915</c:v>
                </c:pt>
                <c:pt idx="178">
                  <c:v>45916</c:v>
                </c:pt>
                <c:pt idx="179">
                  <c:v>45917</c:v>
                </c:pt>
                <c:pt idx="180">
                  <c:v>45918</c:v>
                </c:pt>
                <c:pt idx="181">
                  <c:v>45919</c:v>
                </c:pt>
                <c:pt idx="182">
                  <c:v>45922</c:v>
                </c:pt>
                <c:pt idx="183">
                  <c:v>45923</c:v>
                </c:pt>
                <c:pt idx="184">
                  <c:v>45924</c:v>
                </c:pt>
                <c:pt idx="185">
                  <c:v>45925</c:v>
                </c:pt>
                <c:pt idx="186">
                  <c:v>45926</c:v>
                </c:pt>
                <c:pt idx="187">
                  <c:v>45929</c:v>
                </c:pt>
                <c:pt idx="188">
                  <c:v>45930</c:v>
                </c:pt>
                <c:pt idx="189">
                  <c:v>45931</c:v>
                </c:pt>
                <c:pt idx="190">
                  <c:v>45932</c:v>
                </c:pt>
                <c:pt idx="191">
                  <c:v>45933</c:v>
                </c:pt>
                <c:pt idx="192">
                  <c:v>45936</c:v>
                </c:pt>
                <c:pt idx="193">
                  <c:v>45937</c:v>
                </c:pt>
                <c:pt idx="194">
                  <c:v>45938</c:v>
                </c:pt>
                <c:pt idx="195">
                  <c:v>45939</c:v>
                </c:pt>
                <c:pt idx="196">
                  <c:v>45940</c:v>
                </c:pt>
                <c:pt idx="197">
                  <c:v>45943</c:v>
                </c:pt>
                <c:pt idx="198">
                  <c:v>45944</c:v>
                </c:pt>
                <c:pt idx="199">
                  <c:v>45945</c:v>
                </c:pt>
                <c:pt idx="200">
                  <c:v>45946</c:v>
                </c:pt>
                <c:pt idx="201">
                  <c:v>45947</c:v>
                </c:pt>
                <c:pt idx="202">
                  <c:v>45950</c:v>
                </c:pt>
                <c:pt idx="203">
                  <c:v>45951</c:v>
                </c:pt>
                <c:pt idx="204">
                  <c:v>45952</c:v>
                </c:pt>
                <c:pt idx="205">
                  <c:v>45953</c:v>
                </c:pt>
                <c:pt idx="206">
                  <c:v>45954</c:v>
                </c:pt>
                <c:pt idx="207">
                  <c:v>45957</c:v>
                </c:pt>
                <c:pt idx="208">
                  <c:v>45958</c:v>
                </c:pt>
                <c:pt idx="209">
                  <c:v>45959</c:v>
                </c:pt>
                <c:pt idx="210">
                  <c:v>45960</c:v>
                </c:pt>
                <c:pt idx="211">
                  <c:v>45961</c:v>
                </c:pt>
                <c:pt idx="212">
                  <c:v>45964</c:v>
                </c:pt>
                <c:pt idx="213">
                  <c:v>45965</c:v>
                </c:pt>
                <c:pt idx="214">
                  <c:v>45966</c:v>
                </c:pt>
                <c:pt idx="215">
                  <c:v>45967</c:v>
                </c:pt>
                <c:pt idx="216">
                  <c:v>45968</c:v>
                </c:pt>
                <c:pt idx="217">
                  <c:v>45971</c:v>
                </c:pt>
                <c:pt idx="218">
                  <c:v>45973</c:v>
                </c:pt>
                <c:pt idx="219">
                  <c:v>45974</c:v>
                </c:pt>
                <c:pt idx="220">
                  <c:v>45975</c:v>
                </c:pt>
                <c:pt idx="221">
                  <c:v>45978</c:v>
                </c:pt>
                <c:pt idx="222">
                  <c:v>45979</c:v>
                </c:pt>
                <c:pt idx="223">
                  <c:v>45980</c:v>
                </c:pt>
                <c:pt idx="224">
                  <c:v>45981</c:v>
                </c:pt>
                <c:pt idx="225">
                  <c:v>45982</c:v>
                </c:pt>
                <c:pt idx="226">
                  <c:v>45985</c:v>
                </c:pt>
                <c:pt idx="227">
                  <c:v>45986</c:v>
                </c:pt>
                <c:pt idx="228">
                  <c:v>45987</c:v>
                </c:pt>
                <c:pt idx="229">
                  <c:v>45988</c:v>
                </c:pt>
                <c:pt idx="230">
                  <c:v>45989</c:v>
                </c:pt>
                <c:pt idx="231">
                  <c:v>45992</c:v>
                </c:pt>
                <c:pt idx="232">
                  <c:v>45993</c:v>
                </c:pt>
                <c:pt idx="233">
                  <c:v>45994</c:v>
                </c:pt>
                <c:pt idx="234">
                  <c:v>45995</c:v>
                </c:pt>
                <c:pt idx="235">
                  <c:v>45996</c:v>
                </c:pt>
              </c:numCache>
            </c:numRef>
          </c:cat>
          <c:val>
            <c:numRef>
              <c:f>'Dane ilościowe - sz.czasowy'!$D$9:$D$244</c:f>
              <c:numCache>
                <c:formatCode>#0.0000</c:formatCode>
                <c:ptCount val="236"/>
                <c:pt idx="0">
                  <c:v>4.2667999999999999</c:v>
                </c:pt>
                <c:pt idx="1">
                  <c:v>4.2717999999999998</c:v>
                </c:pt>
                <c:pt idx="2">
                  <c:v>4.2515000000000001</c:v>
                </c:pt>
                <c:pt idx="3">
                  <c:v>4.2656000000000001</c:v>
                </c:pt>
                <c:pt idx="4">
                  <c:v>4.2793999999999999</c:v>
                </c:pt>
                <c:pt idx="5">
                  <c:v>4.2656999999999998</c:v>
                </c:pt>
                <c:pt idx="6">
                  <c:v>4.2714999999999996</c:v>
                </c:pt>
                <c:pt idx="7">
                  <c:v>4.2736999999999998</c:v>
                </c:pt>
                <c:pt idx="8">
                  <c:v>4.2610999999999999</c:v>
                </c:pt>
                <c:pt idx="9">
                  <c:v>4.2619999999999996</c:v>
                </c:pt>
                <c:pt idx="10">
                  <c:v>4.2690999999999999</c:v>
                </c:pt>
                <c:pt idx="11">
                  <c:v>4.2587000000000002</c:v>
                </c:pt>
                <c:pt idx="12">
                  <c:v>4.2553999999999998</c:v>
                </c:pt>
                <c:pt idx="13">
                  <c:v>4.2461000000000002</c:v>
                </c:pt>
                <c:pt idx="14">
                  <c:v>4.2182000000000004</c:v>
                </c:pt>
                <c:pt idx="15">
                  <c:v>4.21</c:v>
                </c:pt>
                <c:pt idx="16">
                  <c:v>4.2176</c:v>
                </c:pt>
                <c:pt idx="17">
                  <c:v>4.2092000000000001</c:v>
                </c:pt>
                <c:pt idx="18">
                  <c:v>4.2077</c:v>
                </c:pt>
                <c:pt idx="19">
                  <c:v>4.2039</c:v>
                </c:pt>
                <c:pt idx="20">
                  <c:v>4.2130000000000001</c:v>
                </c:pt>
                <c:pt idx="21">
                  <c:v>4.2305000000000001</c:v>
                </c:pt>
                <c:pt idx="22">
                  <c:v>4.2248999999999999</c:v>
                </c:pt>
                <c:pt idx="23">
                  <c:v>4.2058999999999997</c:v>
                </c:pt>
                <c:pt idx="24">
                  <c:v>4.2073</c:v>
                </c:pt>
                <c:pt idx="25">
                  <c:v>4.1898</c:v>
                </c:pt>
                <c:pt idx="26">
                  <c:v>4.1871999999999998</c:v>
                </c:pt>
                <c:pt idx="27">
                  <c:v>4.1783000000000001</c:v>
                </c:pt>
                <c:pt idx="28">
                  <c:v>4.1721000000000004</c:v>
                </c:pt>
                <c:pt idx="29">
                  <c:v>4.1651999999999996</c:v>
                </c:pt>
                <c:pt idx="30">
                  <c:v>4.1631999999999998</c:v>
                </c:pt>
                <c:pt idx="31">
                  <c:v>4.1635</c:v>
                </c:pt>
                <c:pt idx="32">
                  <c:v>4.1574</c:v>
                </c:pt>
                <c:pt idx="33">
                  <c:v>4.1581999999999999</c:v>
                </c:pt>
                <c:pt idx="34">
                  <c:v>4.1722999999999999</c:v>
                </c:pt>
                <c:pt idx="35">
                  <c:v>4.1704999999999997</c:v>
                </c:pt>
                <c:pt idx="36">
                  <c:v>4.1608999999999998</c:v>
                </c:pt>
                <c:pt idx="37">
                  <c:v>4.1338999999999997</c:v>
                </c:pt>
                <c:pt idx="38">
                  <c:v>4.1394000000000002</c:v>
                </c:pt>
                <c:pt idx="39">
                  <c:v>4.1371000000000002</c:v>
                </c:pt>
                <c:pt idx="40">
                  <c:v>4.1574999999999998</c:v>
                </c:pt>
                <c:pt idx="41">
                  <c:v>4.1826999999999996</c:v>
                </c:pt>
                <c:pt idx="42">
                  <c:v>4.1567999999999996</c:v>
                </c:pt>
                <c:pt idx="43">
                  <c:v>4.1544999999999996</c:v>
                </c:pt>
                <c:pt idx="44">
                  <c:v>4.1765999999999996</c:v>
                </c:pt>
                <c:pt idx="45">
                  <c:v>4.1760000000000002</c:v>
                </c:pt>
                <c:pt idx="46">
                  <c:v>4.1856999999999998</c:v>
                </c:pt>
                <c:pt idx="47">
                  <c:v>4.1977000000000002</c:v>
                </c:pt>
                <c:pt idx="48">
                  <c:v>4.2016999999999998</c:v>
                </c:pt>
                <c:pt idx="49">
                  <c:v>4.1959999999999997</c:v>
                </c:pt>
                <c:pt idx="50">
                  <c:v>4.1790000000000003</c:v>
                </c:pt>
                <c:pt idx="51">
                  <c:v>4.1776999999999997</c:v>
                </c:pt>
                <c:pt idx="52">
                  <c:v>4.1776</c:v>
                </c:pt>
                <c:pt idx="53">
                  <c:v>4.1944999999999997</c:v>
                </c:pt>
                <c:pt idx="54">
                  <c:v>4.1971999999999996</c:v>
                </c:pt>
                <c:pt idx="55">
                  <c:v>4.1978999999999997</c:v>
                </c:pt>
                <c:pt idx="56">
                  <c:v>4.1832000000000003</c:v>
                </c:pt>
                <c:pt idx="57">
                  <c:v>4.1664000000000003</c:v>
                </c:pt>
                <c:pt idx="58">
                  <c:v>4.1685999999999996</c:v>
                </c:pt>
                <c:pt idx="59">
                  <c:v>4.1913</c:v>
                </c:pt>
                <c:pt idx="60">
                  <c:v>4.1818999999999997</c:v>
                </c:pt>
                <c:pt idx="61">
                  <c:v>4.1839000000000004</c:v>
                </c:pt>
                <c:pt idx="62">
                  <c:v>4.1818</c:v>
                </c:pt>
                <c:pt idx="63">
                  <c:v>4.1794000000000002</c:v>
                </c:pt>
                <c:pt idx="64">
                  <c:v>4.1791</c:v>
                </c:pt>
                <c:pt idx="65">
                  <c:v>4.2403000000000004</c:v>
                </c:pt>
                <c:pt idx="66">
                  <c:v>4.2975000000000003</c:v>
                </c:pt>
                <c:pt idx="67">
                  <c:v>4.2946</c:v>
                </c:pt>
                <c:pt idx="68">
                  <c:v>4.2817999999999996</c:v>
                </c:pt>
                <c:pt idx="69">
                  <c:v>4.2644000000000002</c:v>
                </c:pt>
                <c:pt idx="70">
                  <c:v>4.2972000000000001</c:v>
                </c:pt>
                <c:pt idx="71">
                  <c:v>4.2775999999999996</c:v>
                </c:pt>
                <c:pt idx="72">
                  <c:v>4.2766999999999999</c:v>
                </c:pt>
                <c:pt idx="73">
                  <c:v>4.3033000000000001</c:v>
                </c:pt>
                <c:pt idx="74">
                  <c:v>4.2878999999999996</c:v>
                </c:pt>
                <c:pt idx="75">
                  <c:v>4.2823000000000002</c:v>
                </c:pt>
                <c:pt idx="76">
                  <c:v>4.2801</c:v>
                </c:pt>
                <c:pt idx="77">
                  <c:v>4.2892999999999999</c:v>
                </c:pt>
                <c:pt idx="78">
                  <c:v>4.2789000000000001</c:v>
                </c:pt>
                <c:pt idx="79">
                  <c:v>4.2687999999999997</c:v>
                </c:pt>
                <c:pt idx="80">
                  <c:v>4.2766000000000002</c:v>
                </c:pt>
                <c:pt idx="81">
                  <c:v>4.2645999999999997</c:v>
                </c:pt>
                <c:pt idx="82">
                  <c:v>4.2778</c:v>
                </c:pt>
                <c:pt idx="83">
                  <c:v>4.2750000000000004</c:v>
                </c:pt>
                <c:pt idx="84">
                  <c:v>4.2759999999999998</c:v>
                </c:pt>
                <c:pt idx="85">
                  <c:v>4.2805999999999997</c:v>
                </c:pt>
                <c:pt idx="86">
                  <c:v>4.2756999999999996</c:v>
                </c:pt>
                <c:pt idx="87">
                  <c:v>4.2713999999999999</c:v>
                </c:pt>
                <c:pt idx="88">
                  <c:v>4.2413999999999996</c:v>
                </c:pt>
                <c:pt idx="89">
                  <c:v>4.2336999999999998</c:v>
                </c:pt>
                <c:pt idx="90">
                  <c:v>4.2525000000000004</c:v>
                </c:pt>
                <c:pt idx="91">
                  <c:v>4.2454999999999998</c:v>
                </c:pt>
                <c:pt idx="92">
                  <c:v>4.2378</c:v>
                </c:pt>
                <c:pt idx="93">
                  <c:v>4.2392000000000003</c:v>
                </c:pt>
                <c:pt idx="94">
                  <c:v>4.2785000000000002</c:v>
                </c:pt>
                <c:pt idx="95">
                  <c:v>4.2496999999999998</c:v>
                </c:pt>
                <c:pt idx="96">
                  <c:v>4.2403000000000004</c:v>
                </c:pt>
                <c:pt idx="97">
                  <c:v>4.2446999999999999</c:v>
                </c:pt>
                <c:pt idx="98">
                  <c:v>4.2541000000000002</c:v>
                </c:pt>
                <c:pt idx="99">
                  <c:v>4.2514000000000003</c:v>
                </c:pt>
                <c:pt idx="100">
                  <c:v>4.2478999999999996</c:v>
                </c:pt>
                <c:pt idx="101">
                  <c:v>4.2446999999999999</c:v>
                </c:pt>
                <c:pt idx="102">
                  <c:v>4.2369000000000003</c:v>
                </c:pt>
                <c:pt idx="103">
                  <c:v>4.2507000000000001</c:v>
                </c:pt>
                <c:pt idx="104">
                  <c:v>4.2577999999999996</c:v>
                </c:pt>
                <c:pt idx="105">
                  <c:v>4.2721</c:v>
                </c:pt>
                <c:pt idx="106">
                  <c:v>4.2778</c:v>
                </c:pt>
                <c:pt idx="107">
                  <c:v>4.2790999999999997</c:v>
                </c:pt>
                <c:pt idx="108">
                  <c:v>4.2881</c:v>
                </c:pt>
                <c:pt idx="109">
                  <c:v>4.2771999999999997</c:v>
                </c:pt>
                <c:pt idx="110">
                  <c:v>4.2610999999999999</c:v>
                </c:pt>
                <c:pt idx="111">
                  <c:v>4.2643000000000004</c:v>
                </c:pt>
                <c:pt idx="112">
                  <c:v>4.2630999999999997</c:v>
                </c:pt>
                <c:pt idx="113">
                  <c:v>4.2720000000000002</c:v>
                </c:pt>
                <c:pt idx="114">
                  <c:v>4.2611999999999997</c:v>
                </c:pt>
                <c:pt idx="115">
                  <c:v>4.2750000000000004</c:v>
                </c:pt>
                <c:pt idx="116">
                  <c:v>4.2717000000000001</c:v>
                </c:pt>
                <c:pt idx="117">
                  <c:v>4.2709000000000001</c:v>
                </c:pt>
                <c:pt idx="118">
                  <c:v>4.2727000000000004</c:v>
                </c:pt>
                <c:pt idx="119">
                  <c:v>4.2603999999999997</c:v>
                </c:pt>
                <c:pt idx="120">
                  <c:v>4.2478999999999996</c:v>
                </c:pt>
                <c:pt idx="121">
                  <c:v>4.2478999999999996</c:v>
                </c:pt>
                <c:pt idx="122">
                  <c:v>4.2362000000000002</c:v>
                </c:pt>
                <c:pt idx="123">
                  <c:v>4.2419000000000002</c:v>
                </c:pt>
                <c:pt idx="124">
                  <c:v>4.2415000000000003</c:v>
                </c:pt>
                <c:pt idx="125">
                  <c:v>4.25</c:v>
                </c:pt>
                <c:pt idx="126">
                  <c:v>4.2633999999999999</c:v>
                </c:pt>
                <c:pt idx="127">
                  <c:v>4.2515000000000001</c:v>
                </c:pt>
                <c:pt idx="128">
                  <c:v>4.2523999999999997</c:v>
                </c:pt>
                <c:pt idx="129">
                  <c:v>4.2454999999999998</c:v>
                </c:pt>
                <c:pt idx="130">
                  <c:v>4.2398999999999996</c:v>
                </c:pt>
                <c:pt idx="131">
                  <c:v>4.2464000000000004</c:v>
                </c:pt>
                <c:pt idx="132">
                  <c:v>4.2563000000000004</c:v>
                </c:pt>
                <c:pt idx="133">
                  <c:v>4.2614000000000001</c:v>
                </c:pt>
                <c:pt idx="134">
                  <c:v>4.2538</c:v>
                </c:pt>
                <c:pt idx="135">
                  <c:v>4.2584999999999997</c:v>
                </c:pt>
                <c:pt idx="136">
                  <c:v>4.2558999999999996</c:v>
                </c:pt>
                <c:pt idx="137">
                  <c:v>4.2508999999999997</c:v>
                </c:pt>
                <c:pt idx="138">
                  <c:v>4.2445000000000004</c:v>
                </c:pt>
                <c:pt idx="139">
                  <c:v>4.2530999999999999</c:v>
                </c:pt>
                <c:pt idx="140">
                  <c:v>4.2544000000000004</c:v>
                </c:pt>
                <c:pt idx="141">
                  <c:v>4.2514000000000003</c:v>
                </c:pt>
                <c:pt idx="142">
                  <c:v>4.2544000000000004</c:v>
                </c:pt>
                <c:pt idx="143">
                  <c:v>4.2565</c:v>
                </c:pt>
                <c:pt idx="144">
                  <c:v>4.2736999999999998</c:v>
                </c:pt>
                <c:pt idx="145">
                  <c:v>4.2732000000000001</c:v>
                </c:pt>
                <c:pt idx="146">
                  <c:v>4.2660999999999998</c:v>
                </c:pt>
                <c:pt idx="147">
                  <c:v>4.2812999999999999</c:v>
                </c:pt>
                <c:pt idx="148">
                  <c:v>4.2733999999999996</c:v>
                </c:pt>
                <c:pt idx="149">
                  <c:v>4.2763</c:v>
                </c:pt>
                <c:pt idx="150">
                  <c:v>4.282</c:v>
                </c:pt>
                <c:pt idx="151">
                  <c:v>4.2618</c:v>
                </c:pt>
                <c:pt idx="152">
                  <c:v>4.2565999999999997</c:v>
                </c:pt>
                <c:pt idx="153">
                  <c:v>4.2533000000000003</c:v>
                </c:pt>
                <c:pt idx="154">
                  <c:v>4.2625999999999999</c:v>
                </c:pt>
                <c:pt idx="155">
                  <c:v>4.2586000000000004</c:v>
                </c:pt>
                <c:pt idx="156">
                  <c:v>4.2638999999999996</c:v>
                </c:pt>
                <c:pt idx="157">
                  <c:v>4.2557999999999998</c:v>
                </c:pt>
                <c:pt idx="158">
                  <c:v>4.242</c:v>
                </c:pt>
                <c:pt idx="159">
                  <c:v>4.2523999999999997</c:v>
                </c:pt>
                <c:pt idx="160">
                  <c:v>4.2521000000000004</c:v>
                </c:pt>
                <c:pt idx="161">
                  <c:v>4.2670000000000003</c:v>
                </c:pt>
                <c:pt idx="162">
                  <c:v>4.2626999999999997</c:v>
                </c:pt>
                <c:pt idx="163">
                  <c:v>4.2656999999999998</c:v>
                </c:pt>
                <c:pt idx="164">
                  <c:v>4.2638999999999996</c:v>
                </c:pt>
                <c:pt idx="165">
                  <c:v>4.2680999999999996</c:v>
                </c:pt>
                <c:pt idx="166">
                  <c:v>4.2683999999999997</c:v>
                </c:pt>
                <c:pt idx="167">
                  <c:v>4.2573999999999996</c:v>
                </c:pt>
                <c:pt idx="168">
                  <c:v>4.2651000000000003</c:v>
                </c:pt>
                <c:pt idx="169">
                  <c:v>4.2588999999999997</c:v>
                </c:pt>
                <c:pt idx="170">
                  <c:v>4.2553000000000001</c:v>
                </c:pt>
                <c:pt idx="171">
                  <c:v>4.2476000000000003</c:v>
                </c:pt>
                <c:pt idx="172">
                  <c:v>4.2484000000000002</c:v>
                </c:pt>
                <c:pt idx="173">
                  <c:v>4.2539999999999996</c:v>
                </c:pt>
                <c:pt idx="174">
                  <c:v>4.2603999999999997</c:v>
                </c:pt>
                <c:pt idx="175">
                  <c:v>4.2625999999999999</c:v>
                </c:pt>
                <c:pt idx="176">
                  <c:v>4.2592999999999996</c:v>
                </c:pt>
                <c:pt idx="177">
                  <c:v>4.2476000000000003</c:v>
                </c:pt>
                <c:pt idx="178">
                  <c:v>4.2504</c:v>
                </c:pt>
                <c:pt idx="179">
                  <c:v>4.2558999999999996</c:v>
                </c:pt>
                <c:pt idx="180">
                  <c:v>4.2564000000000002</c:v>
                </c:pt>
                <c:pt idx="181">
                  <c:v>4.2666000000000004</c:v>
                </c:pt>
                <c:pt idx="182">
                  <c:v>4.2645</c:v>
                </c:pt>
                <c:pt idx="183">
                  <c:v>4.2552000000000003</c:v>
                </c:pt>
                <c:pt idx="184">
                  <c:v>4.2675999999999998</c:v>
                </c:pt>
                <c:pt idx="185">
                  <c:v>4.2618999999999998</c:v>
                </c:pt>
                <c:pt idx="186">
                  <c:v>4.2667999999999999</c:v>
                </c:pt>
                <c:pt idx="187">
                  <c:v>4.2687999999999997</c:v>
                </c:pt>
                <c:pt idx="188">
                  <c:v>4.2691999999999997</c:v>
                </c:pt>
                <c:pt idx="189">
                  <c:v>4.2586000000000004</c:v>
                </c:pt>
                <c:pt idx="190">
                  <c:v>4.2560000000000002</c:v>
                </c:pt>
                <c:pt idx="191">
                  <c:v>4.2558999999999996</c:v>
                </c:pt>
                <c:pt idx="192">
                  <c:v>4.2521000000000004</c:v>
                </c:pt>
                <c:pt idx="193">
                  <c:v>4.2558999999999996</c:v>
                </c:pt>
                <c:pt idx="194">
                  <c:v>4.2533000000000003</c:v>
                </c:pt>
                <c:pt idx="195">
                  <c:v>4.2568999999999999</c:v>
                </c:pt>
                <c:pt idx="196">
                  <c:v>4.2583000000000002</c:v>
                </c:pt>
                <c:pt idx="197">
                  <c:v>4.2591999999999999</c:v>
                </c:pt>
                <c:pt idx="198">
                  <c:v>4.2645</c:v>
                </c:pt>
                <c:pt idx="199">
                  <c:v>4.2556000000000003</c:v>
                </c:pt>
                <c:pt idx="200">
                  <c:v>4.2516999999999996</c:v>
                </c:pt>
                <c:pt idx="201">
                  <c:v>4.2565</c:v>
                </c:pt>
                <c:pt idx="202">
                  <c:v>4.2396000000000003</c:v>
                </c:pt>
                <c:pt idx="203">
                  <c:v>4.2392000000000003</c:v>
                </c:pt>
                <c:pt idx="204">
                  <c:v>4.2438000000000002</c:v>
                </c:pt>
                <c:pt idx="205">
                  <c:v>4.2347000000000001</c:v>
                </c:pt>
                <c:pt idx="206">
                  <c:v>4.2352999999999996</c:v>
                </c:pt>
                <c:pt idx="207">
                  <c:v>4.2352999999999996</c:v>
                </c:pt>
                <c:pt idx="208">
                  <c:v>4.2344999999999997</c:v>
                </c:pt>
                <c:pt idx="209">
                  <c:v>4.2374000000000001</c:v>
                </c:pt>
                <c:pt idx="210">
                  <c:v>4.2424999999999997</c:v>
                </c:pt>
                <c:pt idx="211">
                  <c:v>4.2542999999999997</c:v>
                </c:pt>
                <c:pt idx="212">
                  <c:v>4.2526999999999999</c:v>
                </c:pt>
                <c:pt idx="213">
                  <c:v>4.2575000000000003</c:v>
                </c:pt>
                <c:pt idx="214">
                  <c:v>4.2596999999999996</c:v>
                </c:pt>
                <c:pt idx="215">
                  <c:v>4.2565999999999997</c:v>
                </c:pt>
                <c:pt idx="216">
                  <c:v>4.2483000000000004</c:v>
                </c:pt>
                <c:pt idx="217">
                  <c:v>4.2351000000000001</c:v>
                </c:pt>
                <c:pt idx="218">
                  <c:v>4.2312000000000003</c:v>
                </c:pt>
                <c:pt idx="219">
                  <c:v>4.2304000000000004</c:v>
                </c:pt>
                <c:pt idx="220">
                  <c:v>4.2274000000000003</c:v>
                </c:pt>
                <c:pt idx="221">
                  <c:v>4.2230999999999996</c:v>
                </c:pt>
                <c:pt idx="222">
                  <c:v>4.2331000000000003</c:v>
                </c:pt>
                <c:pt idx="223">
                  <c:v>4.2423999999999999</c:v>
                </c:pt>
                <c:pt idx="224">
                  <c:v>4.2289000000000003</c:v>
                </c:pt>
                <c:pt idx="225">
                  <c:v>4.2488999999999999</c:v>
                </c:pt>
                <c:pt idx="226">
                  <c:v>4.2344999999999997</c:v>
                </c:pt>
                <c:pt idx="227">
                  <c:v>4.2301000000000002</c:v>
                </c:pt>
                <c:pt idx="228">
                  <c:v>4.2329999999999997</c:v>
                </c:pt>
                <c:pt idx="229">
                  <c:v>4.2270000000000003</c:v>
                </c:pt>
                <c:pt idx="230">
                  <c:v>4.2369000000000003</c:v>
                </c:pt>
                <c:pt idx="231">
                  <c:v>4.2286000000000001</c:v>
                </c:pt>
                <c:pt idx="232">
                  <c:v>4.2389999999999999</c:v>
                </c:pt>
                <c:pt idx="233">
                  <c:v>4.2312000000000003</c:v>
                </c:pt>
                <c:pt idx="234">
                  <c:v>4.2298999999999998</c:v>
                </c:pt>
                <c:pt idx="235">
                  <c:v>4.2321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5-D540-86E9-4B28F9031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155871"/>
        <c:axId val="1146371951"/>
      </c:lineChart>
      <c:dateAx>
        <c:axId val="61115587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6371951"/>
        <c:crosses val="autoZero"/>
        <c:auto val="1"/>
        <c:lblOffset val="100"/>
        <c:baseTimeUnit val="days"/>
      </c:dateAx>
      <c:valAx>
        <c:axId val="114637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115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Graficzne przedstawienie szeregu rozdzielczego dla kursu Euro w PLN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5294847333880713E-2"/>
          <c:y val="8.9929254710929732E-2"/>
          <c:w val="0.92170440247857244"/>
          <c:h val="0.730374922142996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'Dane ilościowe - sz. przedziało'!$H$20:$H$35</c:f>
              <c:strCache>
                <c:ptCount val="16"/>
                <c:pt idx="0">
                  <c:v>[4,1339;4,1444875]</c:v>
                </c:pt>
                <c:pt idx="1">
                  <c:v>(4,1444875;4,155075]</c:v>
                </c:pt>
                <c:pt idx="2">
                  <c:v>(4,155075;4,1656625]</c:v>
                </c:pt>
                <c:pt idx="3">
                  <c:v>(4,1656625;4,17625]</c:v>
                </c:pt>
                <c:pt idx="4">
                  <c:v>(4,17625;4,1868375]</c:v>
                </c:pt>
                <c:pt idx="5">
                  <c:v>(4,1868375;4,197425]</c:v>
                </c:pt>
                <c:pt idx="6">
                  <c:v>(4,197425;4,2080125]</c:v>
                </c:pt>
                <c:pt idx="7">
                  <c:v>(4,2080125;4,2186]</c:v>
                </c:pt>
                <c:pt idx="8">
                  <c:v>(4,2186;4,2291875]</c:v>
                </c:pt>
                <c:pt idx="9">
                  <c:v>(4,2291875;4,239775]</c:v>
                </c:pt>
                <c:pt idx="10">
                  <c:v>(4,239775;4,2503625]</c:v>
                </c:pt>
                <c:pt idx="11">
                  <c:v>(4,2503625;4,26095]</c:v>
                </c:pt>
                <c:pt idx="12">
                  <c:v>(4,26095;4,2715375]</c:v>
                </c:pt>
                <c:pt idx="13">
                  <c:v>(4,2715375;4,282125]</c:v>
                </c:pt>
                <c:pt idx="14">
                  <c:v>(4,282125;4,2927125]</c:v>
                </c:pt>
                <c:pt idx="15">
                  <c:v>(4,2927125;4,3033]</c:v>
                </c:pt>
              </c:strCache>
            </c:strRef>
          </c:cat>
          <c:val>
            <c:numRef>
              <c:f>'Dane ilościowe - sz. przedziało'!$L$20:$L$35</c:f>
              <c:numCache>
                <c:formatCode>General</c:formatCode>
                <c:ptCount val="16"/>
                <c:pt idx="0">
                  <c:v>3</c:v>
                </c:pt>
                <c:pt idx="1">
                  <c:v>1</c:v>
                </c:pt>
                <c:pt idx="2">
                  <c:v>8</c:v>
                </c:pt>
                <c:pt idx="3">
                  <c:v>6</c:v>
                </c:pt>
                <c:pt idx="4">
                  <c:v>13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25</c:v>
                </c:pt>
                <c:pt idx="10">
                  <c:v>27</c:v>
                </c:pt>
                <c:pt idx="11">
                  <c:v>54</c:v>
                </c:pt>
                <c:pt idx="12">
                  <c:v>38</c:v>
                </c:pt>
                <c:pt idx="13">
                  <c:v>29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E-3440-8440-523F7A788B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07494383"/>
        <c:axId val="507498367"/>
      </c:barChart>
      <c:catAx>
        <c:axId val="50749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7498367"/>
        <c:crosses val="autoZero"/>
        <c:auto val="1"/>
        <c:lblAlgn val="ctr"/>
        <c:lblOffset val="100"/>
        <c:noMultiLvlLbl val="0"/>
      </c:catAx>
      <c:valAx>
        <c:axId val="5074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749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Histogram!$R$53:$R$68</c:f>
              <c:strCache>
                <c:ptCount val="16"/>
                <c:pt idx="0">
                  <c:v>4,13</c:v>
                </c:pt>
                <c:pt idx="1">
                  <c:v>4,14</c:v>
                </c:pt>
                <c:pt idx="2">
                  <c:v>4,16</c:v>
                </c:pt>
                <c:pt idx="3">
                  <c:v>4,17</c:v>
                </c:pt>
                <c:pt idx="4">
                  <c:v>4,18</c:v>
                </c:pt>
                <c:pt idx="5">
                  <c:v>4,19</c:v>
                </c:pt>
                <c:pt idx="6">
                  <c:v>4,20</c:v>
                </c:pt>
                <c:pt idx="7">
                  <c:v>4,21</c:v>
                </c:pt>
                <c:pt idx="8">
                  <c:v>4,22</c:v>
                </c:pt>
                <c:pt idx="9">
                  <c:v>4,23</c:v>
                </c:pt>
                <c:pt idx="10">
                  <c:v>4,24</c:v>
                </c:pt>
                <c:pt idx="11">
                  <c:v>4,25</c:v>
                </c:pt>
                <c:pt idx="12">
                  <c:v>4,26</c:v>
                </c:pt>
                <c:pt idx="13">
                  <c:v>4,27</c:v>
                </c:pt>
                <c:pt idx="14">
                  <c:v>4,28</c:v>
                </c:pt>
                <c:pt idx="15">
                  <c:v>Więcej</c:v>
                </c:pt>
              </c:strCache>
            </c:strRef>
          </c:cat>
          <c:val>
            <c:numRef>
              <c:f>Histogram!$S$53:$S$68</c:f>
              <c:numCache>
                <c:formatCode>General</c:formatCode>
                <c:ptCount val="16"/>
                <c:pt idx="0">
                  <c:v>3</c:v>
                </c:pt>
                <c:pt idx="1">
                  <c:v>1</c:v>
                </c:pt>
                <c:pt idx="2">
                  <c:v>8</c:v>
                </c:pt>
                <c:pt idx="3">
                  <c:v>6</c:v>
                </c:pt>
                <c:pt idx="4">
                  <c:v>13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25</c:v>
                </c:pt>
                <c:pt idx="10">
                  <c:v>27</c:v>
                </c:pt>
                <c:pt idx="11">
                  <c:v>54</c:v>
                </c:pt>
                <c:pt idx="12">
                  <c:v>38</c:v>
                </c:pt>
                <c:pt idx="13">
                  <c:v>29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B-7543-A7CD-C3A81354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283135"/>
        <c:axId val="655086831"/>
      </c:barChart>
      <c:catAx>
        <c:axId val="5852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5086831"/>
        <c:crosses val="autoZero"/>
        <c:auto val="1"/>
        <c:lblAlgn val="ctr"/>
        <c:lblOffset val="100"/>
        <c:noMultiLvlLbl val="0"/>
      </c:catAx>
      <c:valAx>
        <c:axId val="65508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52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3.5614949539758231E-2"/>
          <c:y val="0.12231068158993989"/>
          <c:w val="0.93433810210343426"/>
          <c:h val="0.777171758336122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Histogram!$S$53:$S$68</c:f>
              <c:numCache>
                <c:formatCode>General</c:formatCode>
                <c:ptCount val="16"/>
                <c:pt idx="0">
                  <c:v>3</c:v>
                </c:pt>
                <c:pt idx="1">
                  <c:v>1</c:v>
                </c:pt>
                <c:pt idx="2">
                  <c:v>8</c:v>
                </c:pt>
                <c:pt idx="3">
                  <c:v>6</c:v>
                </c:pt>
                <c:pt idx="4">
                  <c:v>13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25</c:v>
                </c:pt>
                <c:pt idx="10">
                  <c:v>27</c:v>
                </c:pt>
                <c:pt idx="11">
                  <c:v>54</c:v>
                </c:pt>
                <c:pt idx="12">
                  <c:v>38</c:v>
                </c:pt>
                <c:pt idx="13">
                  <c:v>29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D-5F49-8E5D-F126AA859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283135"/>
        <c:axId val="65508683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Histogram!$T$53:$T$68</c:f>
              <c:numCache>
                <c:formatCode>0%</c:formatCode>
                <c:ptCount val="16"/>
                <c:pt idx="0">
                  <c:v>1.2711864406779662E-2</c:v>
                </c:pt>
                <c:pt idx="1">
                  <c:v>1.6949152542372881E-2</c:v>
                </c:pt>
                <c:pt idx="2">
                  <c:v>5.0847457627118647E-2</c:v>
                </c:pt>
                <c:pt idx="3">
                  <c:v>7.6271186440677971E-2</c:v>
                </c:pt>
                <c:pt idx="4">
                  <c:v>0.13135593220338984</c:v>
                </c:pt>
                <c:pt idx="5">
                  <c:v>0.15677966101694915</c:v>
                </c:pt>
                <c:pt idx="6">
                  <c:v>0.1864406779661017</c:v>
                </c:pt>
                <c:pt idx="7">
                  <c:v>0.2076271186440678</c:v>
                </c:pt>
                <c:pt idx="8">
                  <c:v>0.23305084745762711</c:v>
                </c:pt>
                <c:pt idx="9">
                  <c:v>0.33898305084745761</c:v>
                </c:pt>
                <c:pt idx="10">
                  <c:v>0.45338983050847459</c:v>
                </c:pt>
                <c:pt idx="11">
                  <c:v>0.68220338983050843</c:v>
                </c:pt>
                <c:pt idx="12">
                  <c:v>0.84322033898305082</c:v>
                </c:pt>
                <c:pt idx="13">
                  <c:v>0.96610169491525422</c:v>
                </c:pt>
                <c:pt idx="14">
                  <c:v>0.98305084745762716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37D-5F49-8E5D-F126AA859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283135"/>
        <c:axId val="655086831"/>
      </c:lineChart>
      <c:catAx>
        <c:axId val="5852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55086831"/>
        <c:crosses val="autoZero"/>
        <c:auto val="1"/>
        <c:lblAlgn val="ctr"/>
        <c:lblOffset val="100"/>
        <c:noMultiLvlLbl val="0"/>
      </c:catAx>
      <c:valAx>
        <c:axId val="65508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52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1116FC8D-4619-5B48-B7DB-2DBB17CF100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8469673C-E1CF-644E-A028-9645F8B6475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/>
    <cx:plotArea>
      <cx:plotAreaRegion>
        <cx:series layoutId="boxWhisker" uniqueId="{1116FC8D-4619-5B48-B7DB-2DBB17CF100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8469673C-E1CF-644E-A028-9645F8B6475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4.xml"/><Relationship Id="rId1" Type="http://schemas.microsoft.com/office/2014/relationships/chartEx" Target="../charts/chartEx3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20</xdr:row>
      <xdr:rowOff>184150</xdr:rowOff>
    </xdr:from>
    <xdr:to>
      <xdr:col>14</xdr:col>
      <xdr:colOff>114300</xdr:colOff>
      <xdr:row>41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AD7ADC8-F236-11DB-5A32-2C9690B34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171450</xdr:colOff>
      <xdr:row>19</xdr:row>
      <xdr:rowOff>107950</xdr:rowOff>
    </xdr:from>
    <xdr:to>
      <xdr:col>23</xdr:col>
      <xdr:colOff>31750</xdr:colOff>
      <xdr:row>33</xdr:row>
      <xdr:rowOff>184150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F38A03E-9995-5657-BE24-191C0A70D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812800</xdr:colOff>
      <xdr:row>3</xdr:row>
      <xdr:rowOff>44450</xdr:rowOff>
    </xdr:from>
    <xdr:to>
      <xdr:col>15</xdr:col>
      <xdr:colOff>393700</xdr:colOff>
      <xdr:row>21</xdr:row>
      <xdr:rowOff>25400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D7900C8-C875-75F5-4BD1-C1F958A52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679450</xdr:colOff>
      <xdr:row>26</xdr:row>
      <xdr:rowOff>19050</xdr:rowOff>
    </xdr:from>
    <xdr:to>
      <xdr:col>15</xdr:col>
      <xdr:colOff>165100</xdr:colOff>
      <xdr:row>46</xdr:row>
      <xdr:rowOff>127000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2F2E9A1-ED5A-E1AF-4AD9-1BD4100E4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2</xdr:row>
      <xdr:rowOff>171450</xdr:rowOff>
    </xdr:from>
    <xdr:to>
      <xdr:col>26</xdr:col>
      <xdr:colOff>749300</xdr:colOff>
      <xdr:row>34</xdr:row>
      <xdr:rowOff>88900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3EF585D-93BB-9567-E4B4-7F33E92FC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39</xdr:row>
      <xdr:rowOff>31750</xdr:rowOff>
    </xdr:from>
    <xdr:to>
      <xdr:col>20</xdr:col>
      <xdr:colOff>596900</xdr:colOff>
      <xdr:row>73</xdr:row>
      <xdr:rowOff>25400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BFD95C5-11D2-CA51-1341-41FDCED58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431800</xdr:colOff>
      <xdr:row>207</xdr:row>
      <xdr:rowOff>88900</xdr:rowOff>
    </xdr:from>
    <xdr:to>
      <xdr:col>20</xdr:col>
      <xdr:colOff>127000</xdr:colOff>
      <xdr:row>243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64537394-A23B-8714-6FA2-383DBF30A5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5800" y="39522400"/>
              <a:ext cx="9601200" cy="694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7</xdr:col>
      <xdr:colOff>622300</xdr:colOff>
      <xdr:row>10</xdr:row>
      <xdr:rowOff>101600</xdr:rowOff>
    </xdr:from>
    <xdr:to>
      <xdr:col>18</xdr:col>
      <xdr:colOff>749300</xdr:colOff>
      <xdr:row>42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2">
              <a:extLst>
                <a:ext uri="{FF2B5EF4-FFF2-40B4-BE49-F238E27FC236}">
                  <a16:creationId xmlns:a16="http://schemas.microsoft.com/office/drawing/2014/main" id="{E7D35A0F-ECE3-2F7A-C111-146F077625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0800" y="2006600"/>
              <a:ext cx="9207500" cy="610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431800</xdr:colOff>
      <xdr:row>207</xdr:row>
      <xdr:rowOff>88900</xdr:rowOff>
    </xdr:from>
    <xdr:to>
      <xdr:col>20</xdr:col>
      <xdr:colOff>127000</xdr:colOff>
      <xdr:row>243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99274D3C-3CDF-1D48-B413-9872F9722C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5800" y="39522400"/>
              <a:ext cx="10109200" cy="694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7</xdr:col>
      <xdr:colOff>622300</xdr:colOff>
      <xdr:row>10</xdr:row>
      <xdr:rowOff>101600</xdr:rowOff>
    </xdr:from>
    <xdr:to>
      <xdr:col>18</xdr:col>
      <xdr:colOff>749300</xdr:colOff>
      <xdr:row>42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2">
              <a:extLst>
                <a:ext uri="{FF2B5EF4-FFF2-40B4-BE49-F238E27FC236}">
                  <a16:creationId xmlns:a16="http://schemas.microsoft.com/office/drawing/2014/main" id="{B6F6C646-8618-C04B-9CA6-7EE96EA00A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0800" y="2006600"/>
              <a:ext cx="9715500" cy="610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21</xdr:col>
      <xdr:colOff>374650</xdr:colOff>
      <xdr:row>47</xdr:row>
      <xdr:rowOff>57150</xdr:rowOff>
    </xdr:from>
    <xdr:to>
      <xdr:col>29</xdr:col>
      <xdr:colOff>533400</xdr:colOff>
      <xdr:row>65</xdr:row>
      <xdr:rowOff>63500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42FBD419-5496-6290-0BC3-53563692C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88900</xdr:colOff>
      <xdr:row>67</xdr:row>
      <xdr:rowOff>38100</xdr:rowOff>
    </xdr:from>
    <xdr:to>
      <xdr:col>29</xdr:col>
      <xdr:colOff>514350</xdr:colOff>
      <xdr:row>89</xdr:row>
      <xdr:rowOff>114300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24556D7D-34A0-F945-985D-FBF717207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workbookViewId="0">
      <selection activeCell="G21" sqref="G21"/>
    </sheetView>
  </sheetViews>
  <sheetFormatPr baseColWidth="10" defaultColWidth="8.83203125" defaultRowHeight="15"/>
  <cols>
    <col min="1" max="1" width="3" bestFit="1" customWidth="1"/>
    <col min="2" max="2" width="14.5" bestFit="1" customWidth="1"/>
    <col min="3" max="3" width="18.5" bestFit="1" customWidth="1"/>
    <col min="7" max="7" width="14.5" customWidth="1"/>
    <col min="8" max="8" width="21.83203125" customWidth="1"/>
  </cols>
  <sheetData>
    <row r="1" spans="1:14">
      <c r="A1" s="3" t="s">
        <v>0</v>
      </c>
      <c r="B1" s="3" t="s">
        <v>2</v>
      </c>
      <c r="C1" s="3" t="s">
        <v>1</v>
      </c>
    </row>
    <row r="2" spans="1:14" ht="18">
      <c r="A2">
        <v>1</v>
      </c>
      <c r="B2">
        <v>4</v>
      </c>
      <c r="C2">
        <v>2</v>
      </c>
      <c r="G2" s="1" t="s">
        <v>3</v>
      </c>
      <c r="H2" s="2" t="s">
        <v>4</v>
      </c>
      <c r="I2" s="1"/>
      <c r="J2" s="1"/>
      <c r="K2" s="1"/>
      <c r="L2" s="1"/>
      <c r="M2" s="1"/>
      <c r="N2" s="1"/>
    </row>
    <row r="3" spans="1:14">
      <c r="A3">
        <v>2</v>
      </c>
      <c r="B3">
        <v>4</v>
      </c>
      <c r="C3">
        <v>10</v>
      </c>
    </row>
    <row r="4" spans="1:14">
      <c r="A4">
        <v>3</v>
      </c>
      <c r="B4">
        <v>7</v>
      </c>
      <c r="C4">
        <v>4</v>
      </c>
    </row>
    <row r="5" spans="1:14">
      <c r="A5">
        <v>4</v>
      </c>
      <c r="B5">
        <v>7</v>
      </c>
      <c r="C5">
        <v>22</v>
      </c>
    </row>
    <row r="6" spans="1:14">
      <c r="A6">
        <v>5</v>
      </c>
      <c r="B6">
        <v>8</v>
      </c>
      <c r="C6">
        <v>16</v>
      </c>
    </row>
    <row r="7" spans="1:14">
      <c r="A7">
        <v>6</v>
      </c>
      <c r="B7">
        <v>9</v>
      </c>
      <c r="C7">
        <v>10</v>
      </c>
    </row>
    <row r="8" spans="1:14">
      <c r="A8">
        <v>7</v>
      </c>
      <c r="B8">
        <v>10</v>
      </c>
      <c r="C8">
        <v>18</v>
      </c>
    </row>
    <row r="9" spans="1:14">
      <c r="A9">
        <v>8</v>
      </c>
      <c r="B9">
        <v>10</v>
      </c>
      <c r="C9">
        <v>26</v>
      </c>
    </row>
    <row r="10" spans="1:14">
      <c r="A10">
        <v>9</v>
      </c>
      <c r="B10">
        <v>10</v>
      </c>
      <c r="C10">
        <v>34</v>
      </c>
    </row>
    <row r="11" spans="1:14">
      <c r="A11">
        <v>10</v>
      </c>
      <c r="B11">
        <v>11</v>
      </c>
      <c r="C11">
        <v>17</v>
      </c>
    </row>
    <row r="12" spans="1:14">
      <c r="A12">
        <v>11</v>
      </c>
      <c r="B12">
        <v>11</v>
      </c>
      <c r="C12">
        <v>28</v>
      </c>
      <c r="G12" s="5" t="s">
        <v>58</v>
      </c>
      <c r="H12" s="4">
        <f>CORREL(B2:B51,C2:C51)</f>
        <v>0.80689490068921055</v>
      </c>
    </row>
    <row r="13" spans="1:14">
      <c r="A13">
        <v>12</v>
      </c>
      <c r="B13">
        <v>12</v>
      </c>
      <c r="C13">
        <v>14</v>
      </c>
      <c r="G13" s="4" t="s">
        <v>59</v>
      </c>
      <c r="H13" s="4"/>
    </row>
    <row r="14" spans="1:14">
      <c r="A14">
        <v>13</v>
      </c>
      <c r="B14">
        <v>12</v>
      </c>
      <c r="C14">
        <v>20</v>
      </c>
      <c r="G14" s="5" t="s">
        <v>60</v>
      </c>
    </row>
    <row r="15" spans="1:14">
      <c r="A15">
        <v>14</v>
      </c>
      <c r="B15">
        <v>12</v>
      </c>
      <c r="C15">
        <v>24</v>
      </c>
    </row>
    <row r="16" spans="1:14">
      <c r="A16">
        <v>15</v>
      </c>
      <c r="B16">
        <v>12</v>
      </c>
      <c r="C16">
        <v>28</v>
      </c>
    </row>
    <row r="17" spans="1:3">
      <c r="A17">
        <v>16</v>
      </c>
      <c r="B17">
        <v>13</v>
      </c>
      <c r="C17">
        <v>26</v>
      </c>
    </row>
    <row r="18" spans="1:3">
      <c r="A18">
        <v>17</v>
      </c>
      <c r="B18">
        <v>13</v>
      </c>
      <c r="C18">
        <v>34</v>
      </c>
    </row>
    <row r="19" spans="1:3">
      <c r="A19">
        <v>18</v>
      </c>
      <c r="B19">
        <v>13</v>
      </c>
      <c r="C19">
        <v>34</v>
      </c>
    </row>
    <row r="20" spans="1:3">
      <c r="A20">
        <v>19</v>
      </c>
      <c r="B20">
        <v>13</v>
      </c>
      <c r="C20">
        <v>46</v>
      </c>
    </row>
    <row r="21" spans="1:3">
      <c r="A21">
        <v>20</v>
      </c>
      <c r="B21">
        <v>14</v>
      </c>
      <c r="C21">
        <v>26</v>
      </c>
    </row>
    <row r="22" spans="1:3">
      <c r="A22">
        <v>21</v>
      </c>
      <c r="B22">
        <v>14</v>
      </c>
      <c r="C22">
        <v>36</v>
      </c>
    </row>
    <row r="23" spans="1:3">
      <c r="A23">
        <v>22</v>
      </c>
      <c r="B23">
        <v>14</v>
      </c>
      <c r="C23">
        <v>60</v>
      </c>
    </row>
    <row r="24" spans="1:3">
      <c r="A24">
        <v>23</v>
      </c>
      <c r="B24">
        <v>14</v>
      </c>
      <c r="C24">
        <v>80</v>
      </c>
    </row>
    <row r="25" spans="1:3">
      <c r="A25">
        <v>24</v>
      </c>
      <c r="B25">
        <v>15</v>
      </c>
      <c r="C25">
        <v>20</v>
      </c>
    </row>
    <row r="26" spans="1:3">
      <c r="A26">
        <v>25</v>
      </c>
      <c r="B26">
        <v>15</v>
      </c>
      <c r="C26">
        <v>26</v>
      </c>
    </row>
    <row r="27" spans="1:3">
      <c r="A27">
        <v>26</v>
      </c>
      <c r="B27">
        <v>15</v>
      </c>
      <c r="C27">
        <v>54</v>
      </c>
    </row>
    <row r="28" spans="1:3">
      <c r="A28">
        <v>27</v>
      </c>
      <c r="B28">
        <v>16</v>
      </c>
      <c r="C28">
        <v>32</v>
      </c>
    </row>
    <row r="29" spans="1:3">
      <c r="A29">
        <v>28</v>
      </c>
      <c r="B29">
        <v>16</v>
      </c>
      <c r="C29">
        <v>40</v>
      </c>
    </row>
    <row r="30" spans="1:3">
      <c r="A30">
        <v>29</v>
      </c>
      <c r="B30">
        <v>17</v>
      </c>
      <c r="C30">
        <v>32</v>
      </c>
    </row>
    <row r="31" spans="1:3">
      <c r="A31">
        <v>30</v>
      </c>
      <c r="B31">
        <v>17</v>
      </c>
      <c r="C31">
        <v>40</v>
      </c>
    </row>
    <row r="32" spans="1:3">
      <c r="A32">
        <v>31</v>
      </c>
      <c r="B32">
        <v>17</v>
      </c>
      <c r="C32">
        <v>50</v>
      </c>
    </row>
    <row r="33" spans="1:3">
      <c r="A33">
        <v>32</v>
      </c>
      <c r="B33">
        <v>18</v>
      </c>
      <c r="C33">
        <v>42</v>
      </c>
    </row>
    <row r="34" spans="1:3">
      <c r="A34">
        <v>33</v>
      </c>
      <c r="B34">
        <v>18</v>
      </c>
      <c r="C34">
        <v>56</v>
      </c>
    </row>
    <row r="35" spans="1:3">
      <c r="A35">
        <v>34</v>
      </c>
      <c r="B35">
        <v>18</v>
      </c>
      <c r="C35">
        <v>76</v>
      </c>
    </row>
    <row r="36" spans="1:3">
      <c r="A36">
        <v>35</v>
      </c>
      <c r="B36">
        <v>18</v>
      </c>
      <c r="C36">
        <v>84</v>
      </c>
    </row>
    <row r="37" spans="1:3">
      <c r="A37">
        <v>36</v>
      </c>
      <c r="B37">
        <v>19</v>
      </c>
      <c r="C37">
        <v>36</v>
      </c>
    </row>
    <row r="38" spans="1:3">
      <c r="A38">
        <v>37</v>
      </c>
      <c r="B38">
        <v>19</v>
      </c>
      <c r="C38">
        <v>46</v>
      </c>
    </row>
    <row r="39" spans="1:3">
      <c r="A39">
        <v>38</v>
      </c>
      <c r="B39">
        <v>19</v>
      </c>
      <c r="C39">
        <v>68</v>
      </c>
    </row>
    <row r="40" spans="1:3">
      <c r="A40">
        <v>39</v>
      </c>
      <c r="B40">
        <v>20</v>
      </c>
      <c r="C40">
        <v>32</v>
      </c>
    </row>
    <row r="41" spans="1:3">
      <c r="A41">
        <v>40</v>
      </c>
      <c r="B41">
        <v>20</v>
      </c>
      <c r="C41">
        <v>48</v>
      </c>
    </row>
    <row r="42" spans="1:3">
      <c r="A42">
        <v>41</v>
      </c>
      <c r="B42">
        <v>20</v>
      </c>
      <c r="C42">
        <v>52</v>
      </c>
    </row>
    <row r="43" spans="1:3">
      <c r="A43">
        <v>42</v>
      </c>
      <c r="B43">
        <v>20</v>
      </c>
      <c r="C43">
        <v>56</v>
      </c>
    </row>
    <row r="44" spans="1:3">
      <c r="A44">
        <v>43</v>
      </c>
      <c r="B44">
        <v>20</v>
      </c>
      <c r="C44">
        <v>64</v>
      </c>
    </row>
    <row r="45" spans="1:3">
      <c r="A45">
        <v>44</v>
      </c>
      <c r="B45">
        <v>22</v>
      </c>
      <c r="C45">
        <v>66</v>
      </c>
    </row>
    <row r="46" spans="1:3">
      <c r="A46">
        <v>45</v>
      </c>
      <c r="B46">
        <v>23</v>
      </c>
      <c r="C46">
        <v>54</v>
      </c>
    </row>
    <row r="47" spans="1:3">
      <c r="A47">
        <v>46</v>
      </c>
      <c r="B47">
        <v>24</v>
      </c>
      <c r="C47">
        <v>70</v>
      </c>
    </row>
    <row r="48" spans="1:3">
      <c r="A48">
        <v>47</v>
      </c>
      <c r="B48">
        <v>24</v>
      </c>
      <c r="C48">
        <v>92</v>
      </c>
    </row>
    <row r="49" spans="1:3">
      <c r="A49">
        <v>48</v>
      </c>
      <c r="B49">
        <v>24</v>
      </c>
      <c r="C49">
        <v>93</v>
      </c>
    </row>
    <row r="50" spans="1:3">
      <c r="A50">
        <v>49</v>
      </c>
      <c r="B50">
        <v>24</v>
      </c>
      <c r="C50">
        <v>120</v>
      </c>
    </row>
    <row r="51" spans="1:3">
      <c r="A51">
        <v>50</v>
      </c>
      <c r="B51">
        <v>25</v>
      </c>
      <c r="C51">
        <v>85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D9ED-54A3-2849-8080-D3CD1BB99F1E}">
  <dimension ref="A1:G61"/>
  <sheetViews>
    <sheetView workbookViewId="0">
      <selection activeCell="C65" sqref="C65"/>
    </sheetView>
  </sheetViews>
  <sheetFormatPr baseColWidth="10" defaultRowHeight="15"/>
  <cols>
    <col min="1" max="1" width="10.83203125" style="9"/>
    <col min="2" max="2" width="27.33203125" style="6" customWidth="1"/>
  </cols>
  <sheetData>
    <row r="1" spans="1:7">
      <c r="A1" s="11" t="s">
        <v>5</v>
      </c>
      <c r="B1" s="10" t="s">
        <v>6</v>
      </c>
    </row>
    <row r="2" spans="1:7">
      <c r="A2" s="9">
        <v>1</v>
      </c>
      <c r="B2" s="7" t="s">
        <v>7</v>
      </c>
      <c r="E2" s="8" t="s">
        <v>12</v>
      </c>
      <c r="F2" t="s">
        <v>14</v>
      </c>
      <c r="G2" t="s">
        <v>15</v>
      </c>
    </row>
    <row r="3" spans="1:7">
      <c r="A3" s="9">
        <v>2</v>
      </c>
      <c r="B3" s="6" t="s">
        <v>8</v>
      </c>
      <c r="E3" s="7" t="s">
        <v>7</v>
      </c>
      <c r="F3">
        <f>COUNTIF($B$2:$B$61,E3)</f>
        <v>8</v>
      </c>
      <c r="G3" s="12">
        <f>F3/$F$9</f>
        <v>0.13333333333333333</v>
      </c>
    </row>
    <row r="4" spans="1:7">
      <c r="A4" s="9">
        <v>3</v>
      </c>
      <c r="B4" s="6" t="s">
        <v>9</v>
      </c>
      <c r="E4" s="6" t="s">
        <v>8</v>
      </c>
      <c r="F4">
        <f t="shared" ref="F4:F7" si="0">COUNTIF($B$2:$B$61,E4)</f>
        <v>17</v>
      </c>
      <c r="G4" s="12">
        <f t="shared" ref="G4:G7" si="1">F4/$F$9</f>
        <v>0.28333333333333333</v>
      </c>
    </row>
    <row r="5" spans="1:7">
      <c r="A5" s="9">
        <v>4</v>
      </c>
      <c r="B5" s="6" t="s">
        <v>10</v>
      </c>
      <c r="E5" s="6" t="s">
        <v>9</v>
      </c>
      <c r="F5">
        <f t="shared" si="0"/>
        <v>14</v>
      </c>
      <c r="G5" s="12">
        <f t="shared" si="1"/>
        <v>0.23333333333333334</v>
      </c>
    </row>
    <row r="6" spans="1:7">
      <c r="A6" s="9">
        <v>5</v>
      </c>
      <c r="B6" s="6" t="s">
        <v>11</v>
      </c>
      <c r="E6" s="6" t="s">
        <v>10</v>
      </c>
      <c r="F6">
        <f t="shared" si="0"/>
        <v>11</v>
      </c>
      <c r="G6" s="12">
        <f t="shared" si="1"/>
        <v>0.18333333333333332</v>
      </c>
    </row>
    <row r="7" spans="1:7">
      <c r="A7" s="9">
        <v>6</v>
      </c>
      <c r="B7" s="6" t="s">
        <v>10</v>
      </c>
      <c r="E7" s="6" t="s">
        <v>11</v>
      </c>
      <c r="F7">
        <f t="shared" si="0"/>
        <v>10</v>
      </c>
      <c r="G7" s="12">
        <f t="shared" si="1"/>
        <v>0.16666666666666666</v>
      </c>
    </row>
    <row r="8" spans="1:7">
      <c r="A8" s="9">
        <v>7</v>
      </c>
      <c r="B8" s="6" t="s">
        <v>9</v>
      </c>
    </row>
    <row r="9" spans="1:7">
      <c r="A9" s="9">
        <v>8</v>
      </c>
      <c r="B9" s="6" t="s">
        <v>8</v>
      </c>
      <c r="E9" s="6" t="s">
        <v>13</v>
      </c>
      <c r="F9">
        <f>SUM(F3:F7)</f>
        <v>60</v>
      </c>
    </row>
    <row r="10" spans="1:7">
      <c r="A10" s="9">
        <v>9</v>
      </c>
      <c r="B10" s="6" t="s">
        <v>10</v>
      </c>
    </row>
    <row r="11" spans="1:7">
      <c r="A11" s="9">
        <v>10</v>
      </c>
      <c r="B11" s="7" t="s">
        <v>7</v>
      </c>
    </row>
    <row r="12" spans="1:7">
      <c r="A12" s="9">
        <v>11</v>
      </c>
      <c r="B12" s="6" t="s">
        <v>11</v>
      </c>
    </row>
    <row r="13" spans="1:7">
      <c r="A13" s="9">
        <v>12</v>
      </c>
      <c r="B13" s="6" t="s">
        <v>10</v>
      </c>
    </row>
    <row r="14" spans="1:7">
      <c r="A14" s="9">
        <v>13</v>
      </c>
      <c r="B14" s="6" t="s">
        <v>9</v>
      </c>
    </row>
    <row r="15" spans="1:7">
      <c r="A15" s="9">
        <v>14</v>
      </c>
      <c r="B15" s="6" t="s">
        <v>10</v>
      </c>
    </row>
    <row r="16" spans="1:7">
      <c r="A16" s="9">
        <v>15</v>
      </c>
      <c r="B16" s="6" t="s">
        <v>8</v>
      </c>
    </row>
    <row r="17" spans="1:2">
      <c r="A17" s="9">
        <v>16</v>
      </c>
      <c r="B17" s="6" t="s">
        <v>9</v>
      </c>
    </row>
    <row r="18" spans="1:2">
      <c r="A18" s="9">
        <v>17</v>
      </c>
      <c r="B18" s="6" t="s">
        <v>10</v>
      </c>
    </row>
    <row r="19" spans="1:2">
      <c r="A19" s="9">
        <v>18</v>
      </c>
      <c r="B19" s="6" t="s">
        <v>8</v>
      </c>
    </row>
    <row r="20" spans="1:2">
      <c r="A20" s="9">
        <v>19</v>
      </c>
      <c r="B20" s="6" t="s">
        <v>11</v>
      </c>
    </row>
    <row r="21" spans="1:2">
      <c r="A21" s="9">
        <v>20</v>
      </c>
      <c r="B21" s="6" t="s">
        <v>8</v>
      </c>
    </row>
    <row r="22" spans="1:2">
      <c r="A22" s="9">
        <v>21</v>
      </c>
      <c r="B22" s="6" t="s">
        <v>9</v>
      </c>
    </row>
    <row r="23" spans="1:2">
      <c r="A23" s="9">
        <v>22</v>
      </c>
      <c r="B23" s="7" t="s">
        <v>7</v>
      </c>
    </row>
    <row r="24" spans="1:2">
      <c r="A24" s="9">
        <v>23</v>
      </c>
      <c r="B24" s="6" t="s">
        <v>11</v>
      </c>
    </row>
    <row r="25" spans="1:2">
      <c r="A25" s="9">
        <v>24</v>
      </c>
      <c r="B25" s="6" t="s">
        <v>9</v>
      </c>
    </row>
    <row r="26" spans="1:2">
      <c r="A26" s="9">
        <v>25</v>
      </c>
      <c r="B26" s="6" t="s">
        <v>10</v>
      </c>
    </row>
    <row r="27" spans="1:2">
      <c r="A27" s="9">
        <v>26</v>
      </c>
      <c r="B27" s="6" t="s">
        <v>9</v>
      </c>
    </row>
    <row r="28" spans="1:2">
      <c r="A28" s="9">
        <v>27</v>
      </c>
      <c r="B28" s="6" t="s">
        <v>8</v>
      </c>
    </row>
    <row r="29" spans="1:2">
      <c r="A29" s="9">
        <v>28</v>
      </c>
      <c r="B29" s="6" t="s">
        <v>8</v>
      </c>
    </row>
    <row r="30" spans="1:2">
      <c r="A30" s="9">
        <v>29</v>
      </c>
      <c r="B30" s="6" t="s">
        <v>11</v>
      </c>
    </row>
    <row r="31" spans="1:2">
      <c r="A31" s="9">
        <v>30</v>
      </c>
      <c r="B31" s="6" t="s">
        <v>9</v>
      </c>
    </row>
    <row r="32" spans="1:2">
      <c r="A32" s="9">
        <v>31</v>
      </c>
      <c r="B32" s="6" t="s">
        <v>10</v>
      </c>
    </row>
    <row r="33" spans="1:2">
      <c r="A33" s="9">
        <v>32</v>
      </c>
      <c r="B33" s="6" t="s">
        <v>9</v>
      </c>
    </row>
    <row r="34" spans="1:2">
      <c r="A34" s="9">
        <v>33</v>
      </c>
      <c r="B34" s="6" t="s">
        <v>10</v>
      </c>
    </row>
    <row r="35" spans="1:2">
      <c r="A35" s="9">
        <v>34</v>
      </c>
      <c r="B35" s="6" t="s">
        <v>8</v>
      </c>
    </row>
    <row r="36" spans="1:2">
      <c r="A36" s="9">
        <v>35</v>
      </c>
      <c r="B36" s="7" t="s">
        <v>7</v>
      </c>
    </row>
    <row r="37" spans="1:2">
      <c r="A37" s="9">
        <v>36</v>
      </c>
      <c r="B37" s="6" t="s">
        <v>8</v>
      </c>
    </row>
    <row r="38" spans="1:2">
      <c r="A38" s="9">
        <v>37</v>
      </c>
      <c r="B38" s="6" t="s">
        <v>9</v>
      </c>
    </row>
    <row r="39" spans="1:2">
      <c r="A39" s="9">
        <v>38</v>
      </c>
      <c r="B39" s="6" t="s">
        <v>8</v>
      </c>
    </row>
    <row r="40" spans="1:2">
      <c r="A40" s="9">
        <v>39</v>
      </c>
      <c r="B40" s="6" t="s">
        <v>11</v>
      </c>
    </row>
    <row r="41" spans="1:2">
      <c r="A41" s="9">
        <v>40</v>
      </c>
      <c r="B41" s="6" t="s">
        <v>8</v>
      </c>
    </row>
    <row r="42" spans="1:2">
      <c r="A42" s="9">
        <v>41</v>
      </c>
      <c r="B42" s="6" t="s">
        <v>10</v>
      </c>
    </row>
    <row r="43" spans="1:2">
      <c r="A43" s="9">
        <v>42</v>
      </c>
      <c r="B43" s="6" t="s">
        <v>8</v>
      </c>
    </row>
    <row r="44" spans="1:2">
      <c r="A44" s="9">
        <v>43</v>
      </c>
      <c r="B44" s="6" t="s">
        <v>10</v>
      </c>
    </row>
    <row r="45" spans="1:2">
      <c r="A45" s="9">
        <v>44</v>
      </c>
      <c r="B45" s="6" t="s">
        <v>8</v>
      </c>
    </row>
    <row r="46" spans="1:2">
      <c r="A46" s="9">
        <v>45</v>
      </c>
      <c r="B46" s="6" t="s">
        <v>9</v>
      </c>
    </row>
    <row r="47" spans="1:2">
      <c r="A47" s="9">
        <v>46</v>
      </c>
      <c r="B47" s="6" t="s">
        <v>11</v>
      </c>
    </row>
    <row r="48" spans="1:2">
      <c r="A48" s="9">
        <v>47</v>
      </c>
      <c r="B48" s="7" t="s">
        <v>7</v>
      </c>
    </row>
    <row r="49" spans="1:2">
      <c r="A49" s="9">
        <v>48</v>
      </c>
      <c r="B49" s="6" t="s">
        <v>9</v>
      </c>
    </row>
    <row r="50" spans="1:2">
      <c r="A50" s="9">
        <v>49</v>
      </c>
      <c r="B50" s="6" t="s">
        <v>8</v>
      </c>
    </row>
    <row r="51" spans="1:2">
      <c r="A51" s="9">
        <v>50</v>
      </c>
      <c r="B51" s="6" t="s">
        <v>11</v>
      </c>
    </row>
    <row r="52" spans="1:2">
      <c r="A52" s="9">
        <v>51</v>
      </c>
      <c r="B52" s="6" t="s">
        <v>8</v>
      </c>
    </row>
    <row r="53" spans="1:2">
      <c r="A53" s="9">
        <v>52</v>
      </c>
      <c r="B53" s="7" t="s">
        <v>7</v>
      </c>
    </row>
    <row r="54" spans="1:2">
      <c r="A54" s="9">
        <v>53</v>
      </c>
      <c r="B54" s="6" t="s">
        <v>9</v>
      </c>
    </row>
    <row r="55" spans="1:2">
      <c r="A55" s="9">
        <v>54</v>
      </c>
      <c r="B55" s="6" t="s">
        <v>11</v>
      </c>
    </row>
    <row r="56" spans="1:2">
      <c r="A56" s="9">
        <v>55</v>
      </c>
      <c r="B56" s="6" t="s">
        <v>8</v>
      </c>
    </row>
    <row r="57" spans="1:2">
      <c r="A57" s="9">
        <v>56</v>
      </c>
      <c r="B57" s="6" t="s">
        <v>8</v>
      </c>
    </row>
    <row r="58" spans="1:2">
      <c r="A58" s="9">
        <v>57</v>
      </c>
      <c r="B58" s="7" t="s">
        <v>7</v>
      </c>
    </row>
    <row r="59" spans="1:2">
      <c r="A59" s="9">
        <v>58</v>
      </c>
      <c r="B59" s="6" t="s">
        <v>11</v>
      </c>
    </row>
    <row r="60" spans="1:2">
      <c r="A60" s="9">
        <v>59</v>
      </c>
      <c r="B60" s="6" t="s">
        <v>9</v>
      </c>
    </row>
    <row r="61" spans="1:2">
      <c r="A61" s="9">
        <v>60</v>
      </c>
      <c r="B61" s="7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DE2B-26DE-3842-8684-18279CB7328E}">
  <dimension ref="A1:N244"/>
  <sheetViews>
    <sheetView workbookViewId="0">
      <selection sqref="A1:F2"/>
    </sheetView>
  </sheetViews>
  <sheetFormatPr baseColWidth="10" defaultRowHeight="15"/>
  <sheetData>
    <row r="1" spans="1:14">
      <c r="A1" t="s">
        <v>19</v>
      </c>
    </row>
    <row r="2" spans="1:14">
      <c r="A2" t="s">
        <v>20</v>
      </c>
    </row>
    <row r="7" spans="1:14">
      <c r="C7" s="17" t="s">
        <v>16</v>
      </c>
      <c r="D7" s="17" t="s">
        <v>17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>
      <c r="C8" s="15"/>
      <c r="D8" s="18" t="s">
        <v>18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>
      <c r="C9" s="19">
        <v>45659</v>
      </c>
      <c r="D9" s="16">
        <v>4.2667999999999999</v>
      </c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>
      <c r="C10" s="19">
        <v>45660</v>
      </c>
      <c r="D10" s="16">
        <v>4.2717999999999998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>
      <c r="C11" s="19">
        <v>45664</v>
      </c>
      <c r="D11" s="16">
        <v>4.2515000000000001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>
      <c r="C12" s="19">
        <v>45665</v>
      </c>
      <c r="D12" s="16">
        <v>4.2656000000000001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>
      <c r="C13" s="19">
        <v>45666</v>
      </c>
      <c r="D13" s="16">
        <v>4.2793999999999999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>
      <c r="C14" s="19">
        <v>45667</v>
      </c>
      <c r="D14" s="16">
        <v>4.2656999999999998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>
      <c r="C15" s="19">
        <v>45670</v>
      </c>
      <c r="D15" s="16">
        <v>4.2714999999999996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>
      <c r="C16" s="19">
        <v>45671</v>
      </c>
      <c r="D16" s="16">
        <v>4.2736999999999998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3:14">
      <c r="C17" s="19">
        <v>45672</v>
      </c>
      <c r="D17" s="16">
        <v>4.2610999999999999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3:14">
      <c r="C18" s="19">
        <v>45673</v>
      </c>
      <c r="D18" s="16">
        <v>4.2619999999999996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3:14">
      <c r="C19" s="19">
        <v>45674</v>
      </c>
      <c r="D19" s="16">
        <v>4.2690999999999999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3:14">
      <c r="C20" s="19">
        <v>45677</v>
      </c>
      <c r="D20" s="16">
        <v>4.2587000000000002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3:14">
      <c r="C21" s="19">
        <v>45678</v>
      </c>
      <c r="D21" s="16">
        <v>4.2553999999999998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3:14">
      <c r="C22" s="19">
        <v>45679</v>
      </c>
      <c r="D22" s="16">
        <v>4.2461000000000002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3:14">
      <c r="C23" s="19">
        <v>45680</v>
      </c>
      <c r="D23" s="16">
        <v>4.2182000000000004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3:14">
      <c r="C24" s="19">
        <v>45681</v>
      </c>
      <c r="D24" s="16">
        <v>4.21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3:14">
      <c r="C25" s="19">
        <v>45684</v>
      </c>
      <c r="D25" s="16">
        <v>4.2176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3:14">
      <c r="C26" s="19">
        <v>45685</v>
      </c>
      <c r="D26" s="16">
        <v>4.2092000000000001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3:14">
      <c r="C27" s="19">
        <v>45686</v>
      </c>
      <c r="D27" s="16">
        <v>4.2077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3:14">
      <c r="C28" s="19">
        <v>45687</v>
      </c>
      <c r="D28" s="16">
        <v>4.2039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3:14">
      <c r="C29" s="19">
        <v>45688</v>
      </c>
      <c r="D29" s="16">
        <v>4.2130000000000001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3:14">
      <c r="C30" s="19">
        <v>45691</v>
      </c>
      <c r="D30" s="16">
        <v>4.2305000000000001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3:14">
      <c r="C31" s="19">
        <v>45692</v>
      </c>
      <c r="D31" s="16">
        <v>4.2248999999999999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3:14">
      <c r="C32" s="19">
        <v>45693</v>
      </c>
      <c r="D32" s="16">
        <v>4.2058999999999997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3:14">
      <c r="C33" s="19">
        <v>45694</v>
      </c>
      <c r="D33" s="16">
        <v>4.2073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3:14">
      <c r="C34" s="19">
        <v>45695</v>
      </c>
      <c r="D34" s="16">
        <v>4.1898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3:14">
      <c r="C35" s="19">
        <v>45698</v>
      </c>
      <c r="D35" s="16">
        <v>4.1871999999999998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3:14">
      <c r="C36" s="19">
        <v>45699</v>
      </c>
      <c r="D36" s="16">
        <v>4.1783000000000001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3:14">
      <c r="C37" s="19">
        <v>45700</v>
      </c>
      <c r="D37" s="16">
        <v>4.1721000000000004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3:14">
      <c r="C38" s="19">
        <v>45701</v>
      </c>
      <c r="D38" s="16">
        <v>4.1651999999999996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3:14">
      <c r="C39" s="19">
        <v>45702</v>
      </c>
      <c r="D39" s="16">
        <v>4.1631999999999998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3:14">
      <c r="C40" s="19">
        <v>45705</v>
      </c>
      <c r="D40" s="16">
        <v>4.1635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3:14">
      <c r="C41" s="19">
        <v>45706</v>
      </c>
      <c r="D41" s="16">
        <v>4.1574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3:14">
      <c r="C42" s="19">
        <v>45707</v>
      </c>
      <c r="D42" s="16">
        <v>4.1581999999999999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3:14">
      <c r="C43" s="19">
        <v>45708</v>
      </c>
      <c r="D43" s="16">
        <v>4.1722999999999999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3:14">
      <c r="C44" s="19">
        <v>45709</v>
      </c>
      <c r="D44" s="16">
        <v>4.1704999999999997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3:14">
      <c r="C45" s="19">
        <v>45712</v>
      </c>
      <c r="D45" s="16">
        <v>4.1608999999999998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3:14">
      <c r="C46" s="19">
        <v>45713</v>
      </c>
      <c r="D46" s="16">
        <v>4.1338999999999997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3:14">
      <c r="C47" s="19">
        <v>45714</v>
      </c>
      <c r="D47" s="16">
        <v>4.1394000000000002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3:14">
      <c r="C48" s="19">
        <v>45715</v>
      </c>
      <c r="D48" s="16">
        <v>4.1371000000000002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3:14">
      <c r="C49" s="19">
        <v>45716</v>
      </c>
      <c r="D49" s="16">
        <v>4.1574999999999998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3:14">
      <c r="C50" s="19">
        <v>45719</v>
      </c>
      <c r="D50" s="16">
        <v>4.1826999999999996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3:14">
      <c r="C51" s="19">
        <v>45720</v>
      </c>
      <c r="D51" s="16">
        <v>4.1567999999999996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3:14">
      <c r="C52" s="19">
        <v>45721</v>
      </c>
      <c r="D52" s="16">
        <v>4.1544999999999996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3:14">
      <c r="C53" s="19">
        <v>45722</v>
      </c>
      <c r="D53" s="16">
        <v>4.1765999999999996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3:14">
      <c r="C54" s="19">
        <v>45723</v>
      </c>
      <c r="D54" s="16">
        <v>4.1760000000000002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3:14">
      <c r="C55" s="19">
        <v>45726</v>
      </c>
      <c r="D55" s="16">
        <v>4.1856999999999998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3:14">
      <c r="C56" s="19">
        <v>45727</v>
      </c>
      <c r="D56" s="16">
        <v>4.1977000000000002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3:14">
      <c r="C57" s="19">
        <v>45728</v>
      </c>
      <c r="D57" s="16">
        <v>4.2016999999999998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3:14">
      <c r="C58" s="19">
        <v>45729</v>
      </c>
      <c r="D58" s="16">
        <v>4.1959999999999997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3:14">
      <c r="C59" s="19">
        <v>45730</v>
      </c>
      <c r="D59" s="16">
        <v>4.1790000000000003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3:14">
      <c r="C60" s="19">
        <v>45733</v>
      </c>
      <c r="D60" s="16">
        <v>4.1776999999999997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3:14">
      <c r="C61" s="19">
        <v>45734</v>
      </c>
      <c r="D61" s="16">
        <v>4.1776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3:14">
      <c r="C62" s="19">
        <v>45735</v>
      </c>
      <c r="D62" s="16">
        <v>4.1944999999999997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3:14">
      <c r="C63" s="19">
        <v>45736</v>
      </c>
      <c r="D63" s="16">
        <v>4.1971999999999996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3:14">
      <c r="C64" s="19">
        <v>45737</v>
      </c>
      <c r="D64" s="16">
        <v>4.1978999999999997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3:14">
      <c r="C65" s="19">
        <v>45740</v>
      </c>
      <c r="D65" s="16">
        <v>4.1832000000000003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3:14">
      <c r="C66" s="19">
        <v>45741</v>
      </c>
      <c r="D66" s="16">
        <v>4.1664000000000003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3:14">
      <c r="C67" s="19">
        <v>45742</v>
      </c>
      <c r="D67" s="16">
        <v>4.1685999999999996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3:14">
      <c r="C68" s="19">
        <v>45743</v>
      </c>
      <c r="D68" s="16">
        <v>4.1913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3:14">
      <c r="C69" s="19">
        <v>45744</v>
      </c>
      <c r="D69" s="16">
        <v>4.1818999999999997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3:14">
      <c r="C70" s="19">
        <v>45747</v>
      </c>
      <c r="D70" s="16">
        <v>4.1839000000000004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3:14">
      <c r="C71" s="19">
        <v>45748</v>
      </c>
      <c r="D71" s="16">
        <v>4.1818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3:14">
      <c r="C72" s="19">
        <v>45749</v>
      </c>
      <c r="D72" s="16">
        <v>4.1794000000000002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3:14">
      <c r="C73" s="19">
        <v>45750</v>
      </c>
      <c r="D73" s="16">
        <v>4.1791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3:14">
      <c r="C74" s="19">
        <v>45751</v>
      </c>
      <c r="D74" s="16">
        <v>4.2403000000000004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3:14">
      <c r="C75" s="19">
        <v>45754</v>
      </c>
      <c r="D75" s="16">
        <v>4.2975000000000003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3:14">
      <c r="C76" s="19">
        <v>45755</v>
      </c>
      <c r="D76" s="16">
        <v>4.2946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3:14">
      <c r="C77" s="19">
        <v>45756</v>
      </c>
      <c r="D77" s="16">
        <v>4.2817999999999996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3:14">
      <c r="C78" s="19">
        <v>45757</v>
      </c>
      <c r="D78" s="16">
        <v>4.2644000000000002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3:14">
      <c r="C79" s="19">
        <v>45758</v>
      </c>
      <c r="D79" s="16">
        <v>4.2972000000000001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 spans="3:14">
      <c r="C80" s="19">
        <v>45761</v>
      </c>
      <c r="D80" s="16">
        <v>4.2775999999999996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3:14">
      <c r="C81" s="19">
        <v>45762</v>
      </c>
      <c r="D81" s="16">
        <v>4.2766999999999999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3:14">
      <c r="C82" s="19">
        <v>45763</v>
      </c>
      <c r="D82" s="16">
        <v>4.3033000000000001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3:14">
      <c r="C83" s="19">
        <v>45764</v>
      </c>
      <c r="D83" s="16">
        <v>4.2878999999999996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3:14">
      <c r="C84" s="19">
        <v>45765</v>
      </c>
      <c r="D84" s="16">
        <v>4.2823000000000002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3:14">
      <c r="C85" s="19">
        <v>45769</v>
      </c>
      <c r="D85" s="16">
        <v>4.2801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3:14">
      <c r="C86" s="19">
        <v>45770</v>
      </c>
      <c r="D86" s="16">
        <v>4.2892999999999999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3:14">
      <c r="C87" s="19">
        <v>45771</v>
      </c>
      <c r="D87" s="16">
        <v>4.2789000000000001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3:14">
      <c r="C88" s="19">
        <v>45772</v>
      </c>
      <c r="D88" s="16">
        <v>4.2687999999999997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3:14">
      <c r="C89" s="19">
        <v>45775</v>
      </c>
      <c r="D89" s="16">
        <v>4.2766000000000002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3:14">
      <c r="C90" s="19">
        <v>45776</v>
      </c>
      <c r="D90" s="16">
        <v>4.2645999999999997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3:14">
      <c r="C91" s="19">
        <v>45777</v>
      </c>
      <c r="D91" s="16">
        <v>4.2778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3:14">
      <c r="C92" s="19">
        <v>45779</v>
      </c>
      <c r="D92" s="16">
        <v>4.2750000000000004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3:14">
      <c r="C93" s="19">
        <v>45782</v>
      </c>
      <c r="D93" s="16">
        <v>4.2759999999999998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3:14">
      <c r="C94" s="19">
        <v>45783</v>
      </c>
      <c r="D94" s="16">
        <v>4.2805999999999997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3:14">
      <c r="C95" s="19">
        <v>45784</v>
      </c>
      <c r="D95" s="16">
        <v>4.2756999999999996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3:14">
      <c r="C96" s="19">
        <v>45785</v>
      </c>
      <c r="D96" s="16">
        <v>4.2713999999999999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3:14">
      <c r="C97" s="19">
        <v>45786</v>
      </c>
      <c r="D97" s="16">
        <v>4.2413999999999996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3:14">
      <c r="C98" s="19">
        <v>45789</v>
      </c>
      <c r="D98" s="16">
        <v>4.2336999999999998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3:14">
      <c r="C99" s="19">
        <v>45790</v>
      </c>
      <c r="D99" s="16">
        <v>4.2525000000000004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3:14">
      <c r="C100" s="19">
        <v>45791</v>
      </c>
      <c r="D100" s="16">
        <v>4.2454999999999998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3:14">
      <c r="C101" s="19">
        <v>45792</v>
      </c>
      <c r="D101" s="16">
        <v>4.2378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3:14">
      <c r="C102" s="19">
        <v>45793</v>
      </c>
      <c r="D102" s="16">
        <v>4.2392000000000003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3:14">
      <c r="C103" s="19">
        <v>45796</v>
      </c>
      <c r="D103" s="16">
        <v>4.2785000000000002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3:14">
      <c r="C104" s="19">
        <v>45797</v>
      </c>
      <c r="D104" s="16">
        <v>4.2496999999999998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3:14">
      <c r="C105" s="19">
        <v>45798</v>
      </c>
      <c r="D105" s="16">
        <v>4.2403000000000004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3:14">
      <c r="C106" s="19">
        <v>45799</v>
      </c>
      <c r="D106" s="16">
        <v>4.2446999999999999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3:14">
      <c r="C107" s="19">
        <v>45800</v>
      </c>
      <c r="D107" s="16">
        <v>4.2541000000000002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3:14">
      <c r="C108" s="19">
        <v>45803</v>
      </c>
      <c r="D108" s="16">
        <v>4.2514000000000003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3:14">
      <c r="C109" s="19">
        <v>45804</v>
      </c>
      <c r="D109" s="16">
        <v>4.2478999999999996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3:14">
      <c r="C110" s="19">
        <v>45805</v>
      </c>
      <c r="D110" s="16">
        <v>4.2446999999999999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3:14">
      <c r="C111" s="19">
        <v>45806</v>
      </c>
      <c r="D111" s="16">
        <v>4.2369000000000003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3:14">
      <c r="C112" s="19">
        <v>45807</v>
      </c>
      <c r="D112" s="16">
        <v>4.2507000000000001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3:14">
      <c r="C113" s="19">
        <v>45810</v>
      </c>
      <c r="D113" s="16">
        <v>4.2577999999999996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3:14">
      <c r="C114" s="19">
        <v>45811</v>
      </c>
      <c r="D114" s="16">
        <v>4.2721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3:14">
      <c r="C115" s="19">
        <v>45812</v>
      </c>
      <c r="D115" s="16">
        <v>4.2778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3:14">
      <c r="C116" s="19">
        <v>45813</v>
      </c>
      <c r="D116" s="16">
        <v>4.2790999999999997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3:14">
      <c r="C117" s="19">
        <v>45814</v>
      </c>
      <c r="D117" s="16">
        <v>4.2881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3:14">
      <c r="C118" s="19">
        <v>45817</v>
      </c>
      <c r="D118" s="16">
        <v>4.2771999999999997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3:14">
      <c r="C119" s="19">
        <v>45818</v>
      </c>
      <c r="D119" s="16">
        <v>4.2610999999999999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3:14">
      <c r="C120" s="19">
        <v>45819</v>
      </c>
      <c r="D120" s="16">
        <v>4.2643000000000004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3:14">
      <c r="C121" s="19">
        <v>45820</v>
      </c>
      <c r="D121" s="16">
        <v>4.2630999999999997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3:14">
      <c r="C122" s="19">
        <v>45821</v>
      </c>
      <c r="D122" s="16">
        <v>4.2720000000000002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3:14">
      <c r="C123" s="19">
        <v>45824</v>
      </c>
      <c r="D123" s="16">
        <v>4.2611999999999997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3:14">
      <c r="C124" s="19">
        <v>45825</v>
      </c>
      <c r="D124" s="16">
        <v>4.2750000000000004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3:14">
      <c r="C125" s="19">
        <v>45826</v>
      </c>
      <c r="D125" s="16">
        <v>4.2717000000000001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3:14">
      <c r="C126" s="19">
        <v>45828</v>
      </c>
      <c r="D126" s="16">
        <v>4.2709000000000001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3:14">
      <c r="C127" s="19">
        <v>45831</v>
      </c>
      <c r="D127" s="16">
        <v>4.2727000000000004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3:14">
      <c r="C128" s="19">
        <v>45832</v>
      </c>
      <c r="D128" s="16">
        <v>4.2603999999999997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3:14">
      <c r="C129" s="19">
        <v>45833</v>
      </c>
      <c r="D129" s="16">
        <v>4.2478999999999996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3:14">
      <c r="C130" s="19">
        <v>45834</v>
      </c>
      <c r="D130" s="16">
        <v>4.2478999999999996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3:14">
      <c r="C131" s="19">
        <v>45835</v>
      </c>
      <c r="D131" s="16">
        <v>4.2362000000000002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3:14">
      <c r="C132" s="19">
        <v>45838</v>
      </c>
      <c r="D132" s="16">
        <v>4.2419000000000002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3:14">
      <c r="C133" s="19">
        <v>45839</v>
      </c>
      <c r="D133" s="16">
        <v>4.2415000000000003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3:14">
      <c r="C134" s="19">
        <v>45840</v>
      </c>
      <c r="D134" s="16">
        <v>4.25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3:14">
      <c r="C135" s="19">
        <v>45841</v>
      </c>
      <c r="D135" s="16">
        <v>4.2633999999999999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3:14">
      <c r="C136" s="19">
        <v>45842</v>
      </c>
      <c r="D136" s="16">
        <v>4.2515000000000001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3:14">
      <c r="C137" s="19">
        <v>45845</v>
      </c>
      <c r="D137" s="16">
        <v>4.2523999999999997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3:14">
      <c r="C138" s="19">
        <v>45846</v>
      </c>
      <c r="D138" s="16">
        <v>4.2454999999999998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3:14">
      <c r="C139" s="19">
        <v>45847</v>
      </c>
      <c r="D139" s="16">
        <v>4.2398999999999996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3:14">
      <c r="C140" s="19">
        <v>45848</v>
      </c>
      <c r="D140" s="16">
        <v>4.2464000000000004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3:14">
      <c r="C141" s="19">
        <v>45849</v>
      </c>
      <c r="D141" s="16">
        <v>4.2563000000000004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3:14">
      <c r="C142" s="19">
        <v>45852</v>
      </c>
      <c r="D142" s="16">
        <v>4.2614000000000001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3:14">
      <c r="C143" s="19">
        <v>45853</v>
      </c>
      <c r="D143" s="16">
        <v>4.2538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3:14">
      <c r="C144" s="19">
        <v>45854</v>
      </c>
      <c r="D144" s="16">
        <v>4.2584999999999997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3:14">
      <c r="C145" s="19">
        <v>45855</v>
      </c>
      <c r="D145" s="16">
        <v>4.2558999999999996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3:14">
      <c r="C146" s="19">
        <v>45856</v>
      </c>
      <c r="D146" s="16">
        <v>4.2508999999999997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3:14">
      <c r="C147" s="19">
        <v>45859</v>
      </c>
      <c r="D147" s="16">
        <v>4.2445000000000004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3:14">
      <c r="C148" s="19">
        <v>45860</v>
      </c>
      <c r="D148" s="16">
        <v>4.2530999999999999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3:14">
      <c r="C149" s="19">
        <v>45861</v>
      </c>
      <c r="D149" s="16">
        <v>4.2544000000000004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3:14">
      <c r="C150" s="19">
        <v>45862</v>
      </c>
      <c r="D150" s="16">
        <v>4.2514000000000003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 spans="3:14">
      <c r="C151" s="19">
        <v>45863</v>
      </c>
      <c r="D151" s="16">
        <v>4.2544000000000004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 spans="3:14">
      <c r="C152" s="19">
        <v>45866</v>
      </c>
      <c r="D152" s="16">
        <v>4.2565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 spans="3:14">
      <c r="C153" s="19">
        <v>45867</v>
      </c>
      <c r="D153" s="16">
        <v>4.2736999999999998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 spans="3:14">
      <c r="C154" s="19">
        <v>45868</v>
      </c>
      <c r="D154" s="16">
        <v>4.2732000000000001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3:14">
      <c r="C155" s="19">
        <v>45869</v>
      </c>
      <c r="D155" s="16">
        <v>4.2660999999999998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 spans="3:14">
      <c r="C156" s="19">
        <v>45870</v>
      </c>
      <c r="D156" s="16">
        <v>4.2812999999999999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 spans="3:14">
      <c r="C157" s="19">
        <v>45873</v>
      </c>
      <c r="D157" s="16">
        <v>4.2733999999999996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3:14">
      <c r="C158" s="19">
        <v>45874</v>
      </c>
      <c r="D158" s="16">
        <v>4.2763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3:14">
      <c r="C159" s="19">
        <v>45875</v>
      </c>
      <c r="D159" s="16">
        <v>4.282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 spans="3:14">
      <c r="C160" s="19">
        <v>45876</v>
      </c>
      <c r="D160" s="16">
        <v>4.2618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 spans="3:14">
      <c r="C161" s="19">
        <v>45877</v>
      </c>
      <c r="D161" s="16">
        <v>4.2565999999999997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3:14">
      <c r="C162" s="19">
        <v>45880</v>
      </c>
      <c r="D162" s="16">
        <v>4.2533000000000003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3:14">
      <c r="C163" s="19">
        <v>45881</v>
      </c>
      <c r="D163" s="16">
        <v>4.2625999999999999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3:14">
      <c r="C164" s="19">
        <v>45882</v>
      </c>
      <c r="D164" s="16">
        <v>4.2586000000000004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3:14">
      <c r="C165" s="19">
        <v>45883</v>
      </c>
      <c r="D165" s="16">
        <v>4.2638999999999996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3:14">
      <c r="C166" s="19">
        <v>45887</v>
      </c>
      <c r="D166" s="16">
        <v>4.2557999999999998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3:14">
      <c r="C167" s="19">
        <v>45888</v>
      </c>
      <c r="D167" s="16">
        <v>4.242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3:14">
      <c r="C168" s="19">
        <v>45889</v>
      </c>
      <c r="D168" s="16">
        <v>4.2523999999999997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3:14">
      <c r="C169" s="19">
        <v>45890</v>
      </c>
      <c r="D169" s="16">
        <v>4.2521000000000004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3:14">
      <c r="C170" s="19">
        <v>45891</v>
      </c>
      <c r="D170" s="16">
        <v>4.2670000000000003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3:14">
      <c r="C171" s="19">
        <v>45894</v>
      </c>
      <c r="D171" s="16">
        <v>4.2626999999999997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3:14">
      <c r="C172" s="19">
        <v>45895</v>
      </c>
      <c r="D172" s="16">
        <v>4.2656999999999998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3:14">
      <c r="C173" s="19">
        <v>45896</v>
      </c>
      <c r="D173" s="16">
        <v>4.2638999999999996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3:14">
      <c r="C174" s="19">
        <v>45897</v>
      </c>
      <c r="D174" s="16">
        <v>4.2680999999999996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3:14">
      <c r="C175" s="19">
        <v>45898</v>
      </c>
      <c r="D175" s="16">
        <v>4.2683999999999997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3:14">
      <c r="C176" s="19">
        <v>45901</v>
      </c>
      <c r="D176" s="16">
        <v>4.2573999999999996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3:14">
      <c r="C177" s="19">
        <v>45902</v>
      </c>
      <c r="D177" s="16">
        <v>4.2651000000000003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3:14">
      <c r="C178" s="19">
        <v>45903</v>
      </c>
      <c r="D178" s="16">
        <v>4.2588999999999997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3:14">
      <c r="C179" s="19">
        <v>45904</v>
      </c>
      <c r="D179" s="16">
        <v>4.2553000000000001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3:14">
      <c r="C180" s="19">
        <v>45905</v>
      </c>
      <c r="D180" s="16">
        <v>4.2476000000000003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3:14">
      <c r="C181" s="19">
        <v>45908</v>
      </c>
      <c r="D181" s="16">
        <v>4.2484000000000002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3:14">
      <c r="C182" s="19">
        <v>45909</v>
      </c>
      <c r="D182" s="16">
        <v>4.2539999999999996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3:14">
      <c r="C183" s="19">
        <v>45910</v>
      </c>
      <c r="D183" s="16">
        <v>4.2603999999999997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 spans="3:14">
      <c r="C184" s="19">
        <v>45911</v>
      </c>
      <c r="D184" s="16">
        <v>4.2625999999999999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3:14">
      <c r="C185" s="19">
        <v>45912</v>
      </c>
      <c r="D185" s="16">
        <v>4.2592999999999996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3:14">
      <c r="C186" s="19">
        <v>45915</v>
      </c>
      <c r="D186" s="16">
        <v>4.2476000000000003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3:14">
      <c r="C187" s="19">
        <v>45916</v>
      </c>
      <c r="D187" s="16">
        <v>4.2504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3:14">
      <c r="C188" s="19">
        <v>45917</v>
      </c>
      <c r="D188" s="16">
        <v>4.2558999999999996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3:14">
      <c r="C189" s="19">
        <v>45918</v>
      </c>
      <c r="D189" s="16">
        <v>4.2564000000000002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 spans="3:14">
      <c r="C190" s="19">
        <v>45919</v>
      </c>
      <c r="D190" s="16">
        <v>4.2666000000000004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 spans="3:14">
      <c r="C191" s="19">
        <v>45922</v>
      </c>
      <c r="D191" s="16">
        <v>4.2645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 spans="3:14">
      <c r="C192" s="19">
        <v>45923</v>
      </c>
      <c r="D192" s="16">
        <v>4.2552000000000003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 spans="3:14">
      <c r="C193" s="19">
        <v>45924</v>
      </c>
      <c r="D193" s="16">
        <v>4.2675999999999998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 spans="3:14">
      <c r="C194" s="19">
        <v>45925</v>
      </c>
      <c r="D194" s="16">
        <v>4.2618999999999998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 spans="3:14">
      <c r="C195" s="19">
        <v>45926</v>
      </c>
      <c r="D195" s="16">
        <v>4.2667999999999999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 spans="3:14">
      <c r="C196" s="19">
        <v>45929</v>
      </c>
      <c r="D196" s="16">
        <v>4.2687999999999997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 spans="3:14">
      <c r="C197" s="19">
        <v>45930</v>
      </c>
      <c r="D197" s="16">
        <v>4.2691999999999997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 spans="3:14">
      <c r="C198" s="19">
        <v>45931</v>
      </c>
      <c r="D198" s="16">
        <v>4.2586000000000004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 spans="3:14">
      <c r="C199" s="19">
        <v>45932</v>
      </c>
      <c r="D199" s="16">
        <v>4.2560000000000002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 spans="3:14">
      <c r="C200" s="19">
        <v>45933</v>
      </c>
      <c r="D200" s="16">
        <v>4.2558999999999996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 spans="3:14">
      <c r="C201" s="19">
        <v>45936</v>
      </c>
      <c r="D201" s="16">
        <v>4.2521000000000004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 spans="3:14">
      <c r="C202" s="19">
        <v>45937</v>
      </c>
      <c r="D202" s="16">
        <v>4.2558999999999996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3:14">
      <c r="C203" s="19">
        <v>45938</v>
      </c>
      <c r="D203" s="16">
        <v>4.2533000000000003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3:14">
      <c r="C204" s="19">
        <v>45939</v>
      </c>
      <c r="D204" s="16">
        <v>4.2568999999999999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3:14">
      <c r="C205" s="19">
        <v>45940</v>
      </c>
      <c r="D205" s="16">
        <v>4.2583000000000002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3:14">
      <c r="C206" s="19">
        <v>45943</v>
      </c>
      <c r="D206" s="16">
        <v>4.2591999999999999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3:14">
      <c r="C207" s="19">
        <v>45944</v>
      </c>
      <c r="D207" s="16">
        <v>4.2645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3:14">
      <c r="C208" s="19">
        <v>45945</v>
      </c>
      <c r="D208" s="16">
        <v>4.2556000000000003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3:14">
      <c r="C209" s="19">
        <v>45946</v>
      </c>
      <c r="D209" s="16">
        <v>4.2516999999999996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3:14">
      <c r="C210" s="19">
        <v>45947</v>
      </c>
      <c r="D210" s="16">
        <v>4.2565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3:14">
      <c r="C211" s="19">
        <v>45950</v>
      </c>
      <c r="D211" s="16">
        <v>4.2396000000000003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3:14">
      <c r="C212" s="19">
        <v>45951</v>
      </c>
      <c r="D212" s="16">
        <v>4.2392000000000003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3:14">
      <c r="C213" s="19">
        <v>45952</v>
      </c>
      <c r="D213" s="16">
        <v>4.2438000000000002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3:14">
      <c r="C214" s="19">
        <v>45953</v>
      </c>
      <c r="D214" s="16">
        <v>4.2347000000000001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3:14">
      <c r="C215" s="19">
        <v>45954</v>
      </c>
      <c r="D215" s="16">
        <v>4.2352999999999996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3:14">
      <c r="C216" s="19">
        <v>45957</v>
      </c>
      <c r="D216" s="16">
        <v>4.2352999999999996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3:14">
      <c r="C217" s="19">
        <v>45958</v>
      </c>
      <c r="D217" s="16">
        <v>4.2344999999999997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3:14">
      <c r="C218" s="19">
        <v>45959</v>
      </c>
      <c r="D218" s="16">
        <v>4.2374000000000001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3:14">
      <c r="C219" s="19">
        <v>45960</v>
      </c>
      <c r="D219" s="16">
        <v>4.2424999999999997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3:14">
      <c r="C220" s="19">
        <v>45961</v>
      </c>
      <c r="D220" s="16">
        <v>4.2542999999999997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3:14">
      <c r="C221" s="19">
        <v>45964</v>
      </c>
      <c r="D221" s="16">
        <v>4.2526999999999999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3:14">
      <c r="C222" s="19">
        <v>45965</v>
      </c>
      <c r="D222" s="16">
        <v>4.2575000000000003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3:14">
      <c r="C223" s="19">
        <v>45966</v>
      </c>
      <c r="D223" s="16">
        <v>4.2596999999999996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3:14">
      <c r="C224" s="19">
        <v>45967</v>
      </c>
      <c r="D224" s="16">
        <v>4.2565999999999997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3:14">
      <c r="C225" s="19">
        <v>45968</v>
      </c>
      <c r="D225" s="16">
        <v>4.2483000000000004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3:14">
      <c r="C226" s="19">
        <v>45971</v>
      </c>
      <c r="D226" s="16">
        <v>4.2351000000000001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3:14">
      <c r="C227" s="19">
        <v>45973</v>
      </c>
      <c r="D227" s="16">
        <v>4.2312000000000003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3:14">
      <c r="C228" s="19">
        <v>45974</v>
      </c>
      <c r="D228" s="16">
        <v>4.2304000000000004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3:14">
      <c r="C229" s="19">
        <v>45975</v>
      </c>
      <c r="D229" s="16">
        <v>4.2274000000000003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3:14">
      <c r="C230" s="19">
        <v>45978</v>
      </c>
      <c r="D230" s="16">
        <v>4.2230999999999996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3:14">
      <c r="C231" s="19">
        <v>45979</v>
      </c>
      <c r="D231" s="16">
        <v>4.2331000000000003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3:14">
      <c r="C232" s="19">
        <v>45980</v>
      </c>
      <c r="D232" s="16">
        <v>4.2423999999999999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 spans="3:14">
      <c r="C233" s="19">
        <v>45981</v>
      </c>
      <c r="D233" s="16">
        <v>4.2289000000000003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3:14">
      <c r="C234" s="19">
        <v>45982</v>
      </c>
      <c r="D234" s="16">
        <v>4.2488999999999999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 spans="3:14">
      <c r="C235" s="19">
        <v>45985</v>
      </c>
      <c r="D235" s="16">
        <v>4.2344999999999997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 spans="3:14">
      <c r="C236" s="19">
        <v>45986</v>
      </c>
      <c r="D236" s="16">
        <v>4.2301000000000002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 spans="3:14">
      <c r="C237" s="19">
        <v>45987</v>
      </c>
      <c r="D237" s="16">
        <v>4.2329999999999997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 spans="3:14">
      <c r="C238" s="19">
        <v>45988</v>
      </c>
      <c r="D238" s="16">
        <v>4.2270000000000003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</row>
    <row r="239" spans="3:14">
      <c r="C239" s="19">
        <v>45989</v>
      </c>
      <c r="D239" s="16">
        <v>4.2369000000000003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</row>
    <row r="240" spans="3:14">
      <c r="C240" s="19">
        <v>45992</v>
      </c>
      <c r="D240" s="16">
        <v>4.2286000000000001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</row>
    <row r="241" spans="3:14">
      <c r="C241" s="19">
        <v>45993</v>
      </c>
      <c r="D241" s="16">
        <v>4.2389999999999999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</row>
    <row r="242" spans="3:14">
      <c r="C242" s="19">
        <v>45994</v>
      </c>
      <c r="D242" s="16">
        <v>4.2312000000000003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</row>
    <row r="243" spans="3:14">
      <c r="C243" s="19">
        <v>45995</v>
      </c>
      <c r="D243" s="16">
        <v>4.2298999999999998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 spans="3:14">
      <c r="C244" s="19">
        <v>45996</v>
      </c>
      <c r="D244" s="16">
        <v>4.2321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47B4-11E1-F540-8894-AC24CD167C64}">
  <dimension ref="A1:N249"/>
  <sheetViews>
    <sheetView topLeftCell="A35" workbookViewId="0">
      <selection activeCell="G19" sqref="G19:N35"/>
    </sheetView>
  </sheetViews>
  <sheetFormatPr baseColWidth="10" defaultRowHeight="15"/>
  <cols>
    <col min="1" max="1" width="10.83203125" style="8"/>
    <col min="8" max="8" width="33.83203125" customWidth="1"/>
    <col min="14" max="14" width="31.5" customWidth="1"/>
  </cols>
  <sheetData>
    <row r="1" spans="1:14">
      <c r="A1" s="8" t="s">
        <v>19</v>
      </c>
    </row>
    <row r="2" spans="1:14">
      <c r="A2" s="8" t="s">
        <v>20</v>
      </c>
    </row>
    <row r="7" spans="1:14">
      <c r="C7" s="17" t="s">
        <v>16</v>
      </c>
      <c r="D7" s="17" t="s">
        <v>17</v>
      </c>
    </row>
    <row r="8" spans="1:14">
      <c r="A8" s="31" t="s">
        <v>36</v>
      </c>
      <c r="C8" s="15"/>
      <c r="D8" s="22" t="s">
        <v>18</v>
      </c>
    </row>
    <row r="9" spans="1:14">
      <c r="A9" s="8">
        <v>1</v>
      </c>
      <c r="B9" t="s">
        <v>21</v>
      </c>
      <c r="C9" s="19">
        <v>45659</v>
      </c>
      <c r="D9" s="16">
        <v>4.2667999999999999</v>
      </c>
      <c r="G9" s="20" t="s">
        <v>33</v>
      </c>
    </row>
    <row r="10" spans="1:14">
      <c r="A10" s="8">
        <v>2</v>
      </c>
      <c r="C10" s="19">
        <v>45660</v>
      </c>
      <c r="D10" s="16">
        <v>4.2717999999999998</v>
      </c>
    </row>
    <row r="11" spans="1:14">
      <c r="A11" s="8">
        <v>3</v>
      </c>
      <c r="C11" s="19">
        <v>45664</v>
      </c>
      <c r="D11" s="16">
        <v>4.2515000000000001</v>
      </c>
    </row>
    <row r="12" spans="1:14">
      <c r="A12" s="8">
        <v>4</v>
      </c>
      <c r="C12" s="19">
        <v>45665</v>
      </c>
      <c r="D12" s="16">
        <v>4.2656000000000001</v>
      </c>
      <c r="G12" s="24" t="s">
        <v>34</v>
      </c>
      <c r="H12" s="23"/>
      <c r="I12" s="23"/>
      <c r="J12" s="23"/>
      <c r="K12" s="23"/>
      <c r="L12" s="28">
        <f>SQRT(D247)</f>
        <v>15.362291495737216</v>
      </c>
      <c r="M12" t="s">
        <v>40</v>
      </c>
      <c r="N12" s="30">
        <v>16</v>
      </c>
    </row>
    <row r="13" spans="1:14">
      <c r="A13" s="8">
        <v>5</v>
      </c>
      <c r="C13" s="19">
        <v>45666</v>
      </c>
      <c r="D13" s="16">
        <v>4.2793999999999999</v>
      </c>
      <c r="G13" s="24" t="s">
        <v>35</v>
      </c>
      <c r="H13" s="23"/>
      <c r="I13" s="23"/>
      <c r="J13" s="23"/>
      <c r="K13" s="23"/>
      <c r="L13" s="29">
        <f>(D249-D248)/N12</f>
        <v>1.0587500000000027E-2</v>
      </c>
    </row>
    <row r="14" spans="1:14">
      <c r="A14" s="8">
        <v>6</v>
      </c>
      <c r="C14" s="19">
        <v>45667</v>
      </c>
      <c r="D14" s="16">
        <v>4.2656999999999998</v>
      </c>
    </row>
    <row r="15" spans="1:14">
      <c r="A15" s="8">
        <v>7</v>
      </c>
      <c r="C15" s="19">
        <v>45670</v>
      </c>
      <c r="D15" s="16">
        <v>4.2714999999999996</v>
      </c>
    </row>
    <row r="16" spans="1:14">
      <c r="A16" s="8">
        <v>8</v>
      </c>
      <c r="C16" s="19">
        <v>45671</v>
      </c>
      <c r="D16" s="16">
        <v>4.2736999999999998</v>
      </c>
    </row>
    <row r="17" spans="1:14">
      <c r="A17" s="8">
        <v>9</v>
      </c>
      <c r="C17" s="19">
        <v>45672</v>
      </c>
      <c r="D17" s="16">
        <v>4.2610999999999999</v>
      </c>
    </row>
    <row r="18" spans="1:14">
      <c r="A18" s="8">
        <v>10</v>
      </c>
      <c r="C18" s="19">
        <v>45673</v>
      </c>
      <c r="D18" s="16">
        <v>4.2619999999999996</v>
      </c>
    </row>
    <row r="19" spans="1:14">
      <c r="A19" s="8">
        <v>11</v>
      </c>
      <c r="C19" s="19">
        <v>45674</v>
      </c>
      <c r="D19" s="16">
        <v>4.2690999999999999</v>
      </c>
      <c r="G19" s="23"/>
      <c r="H19" s="24" t="s">
        <v>41</v>
      </c>
      <c r="I19" s="24" t="s">
        <v>42</v>
      </c>
      <c r="J19" s="24" t="s">
        <v>43</v>
      </c>
      <c r="K19" s="32"/>
      <c r="L19" s="34" t="s">
        <v>44</v>
      </c>
      <c r="M19" s="34" t="s">
        <v>45</v>
      </c>
      <c r="N19" s="34" t="s">
        <v>46</v>
      </c>
    </row>
    <row r="20" spans="1:14">
      <c r="A20" s="8">
        <v>12</v>
      </c>
      <c r="C20" s="19">
        <v>45677</v>
      </c>
      <c r="D20" s="16">
        <v>4.2587000000000002</v>
      </c>
      <c r="G20" s="24">
        <v>1</v>
      </c>
      <c r="H20" s="23" t="str">
        <f>"["&amp;I20&amp;";"&amp;J20&amp;"]"</f>
        <v>[4,1339;4,1444875]</v>
      </c>
      <c r="I20" s="27">
        <f>D248</f>
        <v>4.1338999999999997</v>
      </c>
      <c r="J20" s="25">
        <f>I20+$L$13</f>
        <v>4.1444874999999994</v>
      </c>
      <c r="K20" s="33"/>
      <c r="L20" s="35" cm="1">
        <f t="array" ref="L20:L35">FREQUENCY($D$9:$D$244,$J$20:$J$34)</f>
        <v>3</v>
      </c>
      <c r="M20" s="36">
        <f>SUBTOTAL(9,L20)</f>
        <v>3</v>
      </c>
      <c r="N20" s="37">
        <f t="shared" ref="N20:N35" si="0">M20/$M$35</f>
        <v>1.2711864406779662E-2</v>
      </c>
    </row>
    <row r="21" spans="1:14">
      <c r="A21" s="8">
        <v>13</v>
      </c>
      <c r="C21" s="19">
        <v>45678</v>
      </c>
      <c r="D21" s="16">
        <v>4.2553999999999998</v>
      </c>
      <c r="G21" s="24">
        <v>2</v>
      </c>
      <c r="H21" s="23" t="str">
        <f>"("&amp;I21&amp;";"&amp;J21&amp;"]"</f>
        <v>(4,1444875;4,155075]</v>
      </c>
      <c r="I21" s="27">
        <f t="shared" ref="I21:I35" si="1">J20</f>
        <v>4.1444874999999994</v>
      </c>
      <c r="J21" s="25">
        <f t="shared" ref="J21:J35" si="2">I21+$L$13</f>
        <v>4.1550749999999992</v>
      </c>
      <c r="K21" s="33"/>
      <c r="L21" s="35">
        <v>1</v>
      </c>
      <c r="M21" s="36">
        <f>SUBTOTAL(9,$L$20:L21)</f>
        <v>4</v>
      </c>
      <c r="N21" s="37">
        <f t="shared" si="0"/>
        <v>1.6949152542372881E-2</v>
      </c>
    </row>
    <row r="22" spans="1:14">
      <c r="A22" s="8">
        <v>14</v>
      </c>
      <c r="C22" s="19">
        <v>45679</v>
      </c>
      <c r="D22" s="16">
        <v>4.2461000000000002</v>
      </c>
      <c r="G22" s="24">
        <v>3</v>
      </c>
      <c r="H22" s="23" t="str">
        <f t="shared" ref="H22:H35" si="3">"("&amp;I22&amp;";"&amp;J22&amp;"]"</f>
        <v>(4,155075;4,1656625]</v>
      </c>
      <c r="I22" s="27">
        <f t="shared" si="1"/>
        <v>4.1550749999999992</v>
      </c>
      <c r="J22" s="25">
        <f t="shared" si="2"/>
        <v>4.1656624999999989</v>
      </c>
      <c r="K22" s="33"/>
      <c r="L22" s="35">
        <v>8</v>
      </c>
      <c r="M22" s="36">
        <f>SUBTOTAL(9,$L$20:L22)</f>
        <v>12</v>
      </c>
      <c r="N22" s="37">
        <f t="shared" si="0"/>
        <v>5.0847457627118647E-2</v>
      </c>
    </row>
    <row r="23" spans="1:14">
      <c r="A23" s="8">
        <v>15</v>
      </c>
      <c r="C23" s="19">
        <v>45680</v>
      </c>
      <c r="D23" s="16">
        <v>4.2182000000000004</v>
      </c>
      <c r="G23" s="24">
        <v>4</v>
      </c>
      <c r="H23" s="23" t="str">
        <f>"("&amp;I23&amp;";"&amp;J23&amp;"]"</f>
        <v>(4,1656625;4,17625]</v>
      </c>
      <c r="I23" s="27">
        <f t="shared" si="1"/>
        <v>4.1656624999999989</v>
      </c>
      <c r="J23" s="25">
        <f t="shared" si="2"/>
        <v>4.1762499999999987</v>
      </c>
      <c r="K23" s="33"/>
      <c r="L23" s="35">
        <v>6</v>
      </c>
      <c r="M23" s="36">
        <f>SUBTOTAL(9,$L$20:L23)</f>
        <v>18</v>
      </c>
      <c r="N23" s="37">
        <f t="shared" si="0"/>
        <v>7.6271186440677971E-2</v>
      </c>
    </row>
    <row r="24" spans="1:14">
      <c r="A24" s="8">
        <v>16</v>
      </c>
      <c r="C24" s="19">
        <v>45681</v>
      </c>
      <c r="D24" s="16">
        <v>4.21</v>
      </c>
      <c r="G24" s="24">
        <v>5</v>
      </c>
      <c r="H24" s="23" t="str">
        <f t="shared" si="3"/>
        <v>(4,17625;4,1868375]</v>
      </c>
      <c r="I24" s="27">
        <f t="shared" si="1"/>
        <v>4.1762499999999987</v>
      </c>
      <c r="J24" s="25">
        <f t="shared" si="2"/>
        <v>4.1868374999999984</v>
      </c>
      <c r="K24" s="33"/>
      <c r="L24" s="35">
        <v>13</v>
      </c>
      <c r="M24" s="36">
        <f>SUBTOTAL(9,$L$20:L24)</f>
        <v>31</v>
      </c>
      <c r="N24" s="37">
        <f t="shared" si="0"/>
        <v>0.13135593220338984</v>
      </c>
    </row>
    <row r="25" spans="1:14">
      <c r="A25" s="8">
        <v>17</v>
      </c>
      <c r="C25" s="19">
        <v>45684</v>
      </c>
      <c r="D25" s="16">
        <v>4.2176</v>
      </c>
      <c r="G25" s="24">
        <v>6</v>
      </c>
      <c r="H25" s="23" t="str">
        <f t="shared" si="3"/>
        <v>(4,1868375;4,197425]</v>
      </c>
      <c r="I25" s="27">
        <f t="shared" si="1"/>
        <v>4.1868374999999984</v>
      </c>
      <c r="J25" s="25">
        <f t="shared" si="2"/>
        <v>4.1974249999999982</v>
      </c>
      <c r="K25" s="33"/>
      <c r="L25" s="35">
        <v>6</v>
      </c>
      <c r="M25" s="36">
        <f>SUBTOTAL(9,$L$20:L25)</f>
        <v>37</v>
      </c>
      <c r="N25" s="37">
        <f t="shared" si="0"/>
        <v>0.15677966101694915</v>
      </c>
    </row>
    <row r="26" spans="1:14">
      <c r="A26" s="8">
        <v>18</v>
      </c>
      <c r="C26" s="19">
        <v>45685</v>
      </c>
      <c r="D26" s="16">
        <v>4.2092000000000001</v>
      </c>
      <c r="G26" s="24">
        <v>7</v>
      </c>
      <c r="H26" s="23" t="str">
        <f t="shared" si="3"/>
        <v>(4,197425;4,2080125]</v>
      </c>
      <c r="I26" s="27">
        <f t="shared" si="1"/>
        <v>4.1974249999999982</v>
      </c>
      <c r="J26" s="25">
        <f t="shared" si="2"/>
        <v>4.2080124999999979</v>
      </c>
      <c r="K26" s="33"/>
      <c r="L26" s="35">
        <v>7</v>
      </c>
      <c r="M26" s="36">
        <f>SUBTOTAL(9,$L$20:L26)</f>
        <v>44</v>
      </c>
      <c r="N26" s="37">
        <f t="shared" si="0"/>
        <v>0.1864406779661017</v>
      </c>
    </row>
    <row r="27" spans="1:14">
      <c r="A27" s="8">
        <v>19</v>
      </c>
      <c r="C27" s="19">
        <v>45686</v>
      </c>
      <c r="D27" s="16">
        <v>4.2077</v>
      </c>
      <c r="G27" s="24">
        <v>8</v>
      </c>
      <c r="H27" s="23" t="str">
        <f t="shared" si="3"/>
        <v>(4,2080125;4,2186]</v>
      </c>
      <c r="I27" s="27">
        <f t="shared" si="1"/>
        <v>4.2080124999999979</v>
      </c>
      <c r="J27" s="25">
        <f t="shared" si="2"/>
        <v>4.2185999999999977</v>
      </c>
      <c r="K27" s="33"/>
      <c r="L27" s="35">
        <v>5</v>
      </c>
      <c r="M27" s="36">
        <f>SUBTOTAL(9,$L$20:L27)</f>
        <v>49</v>
      </c>
      <c r="N27" s="37">
        <f t="shared" si="0"/>
        <v>0.2076271186440678</v>
      </c>
    </row>
    <row r="28" spans="1:14">
      <c r="A28" s="8">
        <v>20</v>
      </c>
      <c r="C28" s="19">
        <v>45687</v>
      </c>
      <c r="D28" s="16">
        <v>4.2039</v>
      </c>
      <c r="G28" s="24">
        <v>9</v>
      </c>
      <c r="H28" s="23" t="str">
        <f t="shared" si="3"/>
        <v>(4,2186;4,2291875]</v>
      </c>
      <c r="I28" s="25">
        <f t="shared" si="1"/>
        <v>4.2185999999999977</v>
      </c>
      <c r="J28" s="25">
        <f t="shared" si="2"/>
        <v>4.2291874999999974</v>
      </c>
      <c r="K28" s="33"/>
      <c r="L28" s="35">
        <v>6</v>
      </c>
      <c r="M28" s="36">
        <f>SUBTOTAL(9,$L$20:L28)</f>
        <v>55</v>
      </c>
      <c r="N28" s="37">
        <f t="shared" si="0"/>
        <v>0.23305084745762711</v>
      </c>
    </row>
    <row r="29" spans="1:14">
      <c r="A29" s="8">
        <v>21</v>
      </c>
      <c r="C29" s="19">
        <v>45688</v>
      </c>
      <c r="D29" s="16">
        <v>4.2130000000000001</v>
      </c>
      <c r="G29" s="24">
        <v>10</v>
      </c>
      <c r="H29" s="23" t="str">
        <f t="shared" si="3"/>
        <v>(4,2291875;4,239775]</v>
      </c>
      <c r="I29" s="25">
        <f t="shared" si="1"/>
        <v>4.2291874999999974</v>
      </c>
      <c r="J29" s="25">
        <f t="shared" si="2"/>
        <v>4.2397749999999972</v>
      </c>
      <c r="K29" s="33"/>
      <c r="L29" s="35">
        <v>25</v>
      </c>
      <c r="M29" s="36">
        <f>SUBTOTAL(9,$L$20:L29)</f>
        <v>80</v>
      </c>
      <c r="N29" s="37">
        <f t="shared" si="0"/>
        <v>0.33898305084745761</v>
      </c>
    </row>
    <row r="30" spans="1:14">
      <c r="A30" s="8">
        <v>22</v>
      </c>
      <c r="B30" t="s">
        <v>22</v>
      </c>
      <c r="C30" s="19">
        <v>45691</v>
      </c>
      <c r="D30" s="16">
        <v>4.2305000000000001</v>
      </c>
      <c r="G30" s="24">
        <v>11</v>
      </c>
      <c r="H30" s="23" t="str">
        <f t="shared" si="3"/>
        <v>(4,239775;4,2503625]</v>
      </c>
      <c r="I30" s="25">
        <f t="shared" si="1"/>
        <v>4.2397749999999972</v>
      </c>
      <c r="J30" s="25">
        <f t="shared" si="2"/>
        <v>4.2503624999999969</v>
      </c>
      <c r="K30" s="33"/>
      <c r="L30" s="35">
        <v>27</v>
      </c>
      <c r="M30" s="36">
        <f>SUBTOTAL(9,$L$20:L30)</f>
        <v>107</v>
      </c>
      <c r="N30" s="37">
        <f t="shared" si="0"/>
        <v>0.45338983050847459</v>
      </c>
    </row>
    <row r="31" spans="1:14">
      <c r="A31" s="8">
        <v>23</v>
      </c>
      <c r="C31" s="19">
        <v>45692</v>
      </c>
      <c r="D31" s="16">
        <v>4.2248999999999999</v>
      </c>
      <c r="G31" s="24">
        <v>12</v>
      </c>
      <c r="H31" s="23" t="str">
        <f t="shared" si="3"/>
        <v>(4,2503625;4,26095]</v>
      </c>
      <c r="I31" s="25">
        <f t="shared" si="1"/>
        <v>4.2503624999999969</v>
      </c>
      <c r="J31" s="25">
        <f t="shared" si="2"/>
        <v>4.2609499999999967</v>
      </c>
      <c r="K31" s="33"/>
      <c r="L31" s="35">
        <v>54</v>
      </c>
      <c r="M31" s="36">
        <f>SUBTOTAL(9,$L$20:L31)</f>
        <v>161</v>
      </c>
      <c r="N31" s="37">
        <f t="shared" si="0"/>
        <v>0.68220338983050843</v>
      </c>
    </row>
    <row r="32" spans="1:14">
      <c r="A32" s="8">
        <v>24</v>
      </c>
      <c r="C32" s="19">
        <v>45693</v>
      </c>
      <c r="D32" s="16">
        <v>4.2058999999999997</v>
      </c>
      <c r="G32" s="24">
        <v>13</v>
      </c>
      <c r="H32" s="23" t="str">
        <f t="shared" si="3"/>
        <v>(4,26095;4,2715375]</v>
      </c>
      <c r="I32" s="25">
        <f t="shared" si="1"/>
        <v>4.2609499999999967</v>
      </c>
      <c r="J32" s="25">
        <f t="shared" si="2"/>
        <v>4.2715374999999964</v>
      </c>
      <c r="K32" s="33"/>
      <c r="L32" s="35">
        <v>38</v>
      </c>
      <c r="M32" s="36">
        <f>SUBTOTAL(9,$L$20:L32)</f>
        <v>199</v>
      </c>
      <c r="N32" s="37">
        <f t="shared" si="0"/>
        <v>0.84322033898305082</v>
      </c>
    </row>
    <row r="33" spans="1:14">
      <c r="A33" s="8">
        <v>25</v>
      </c>
      <c r="C33" s="19">
        <v>45694</v>
      </c>
      <c r="D33" s="16">
        <v>4.2073</v>
      </c>
      <c r="G33" s="24">
        <v>14</v>
      </c>
      <c r="H33" s="23" t="str">
        <f t="shared" si="3"/>
        <v>(4,2715375;4,282125]</v>
      </c>
      <c r="I33" s="25">
        <f t="shared" si="1"/>
        <v>4.2715374999999964</v>
      </c>
      <c r="J33" s="25">
        <f t="shared" si="2"/>
        <v>4.2821249999999962</v>
      </c>
      <c r="K33" s="33"/>
      <c r="L33" s="35">
        <v>29</v>
      </c>
      <c r="M33" s="36">
        <f>SUBTOTAL(9,$L$20:L33)</f>
        <v>228</v>
      </c>
      <c r="N33" s="37">
        <f t="shared" si="0"/>
        <v>0.96610169491525422</v>
      </c>
    </row>
    <row r="34" spans="1:14">
      <c r="A34" s="8">
        <v>26</v>
      </c>
      <c r="C34" s="19">
        <v>45695</v>
      </c>
      <c r="D34" s="16">
        <v>4.1898</v>
      </c>
      <c r="G34" s="24">
        <v>15</v>
      </c>
      <c r="H34" s="23" t="str">
        <f t="shared" si="3"/>
        <v>(4,282125;4,2927125]</v>
      </c>
      <c r="I34" s="25">
        <f t="shared" si="1"/>
        <v>4.2821249999999962</v>
      </c>
      <c r="J34" s="25">
        <f t="shared" si="2"/>
        <v>4.2927124999999959</v>
      </c>
      <c r="K34" s="33"/>
      <c r="L34" s="35">
        <v>4</v>
      </c>
      <c r="M34" s="36">
        <f>SUBTOTAL(9,$L$20:L34)</f>
        <v>232</v>
      </c>
      <c r="N34" s="37">
        <f t="shared" si="0"/>
        <v>0.98305084745762716</v>
      </c>
    </row>
    <row r="35" spans="1:14">
      <c r="A35" s="8">
        <v>27</v>
      </c>
      <c r="C35" s="19">
        <v>45698</v>
      </c>
      <c r="D35" s="16">
        <v>4.1871999999999998</v>
      </c>
      <c r="G35" s="24">
        <v>16</v>
      </c>
      <c r="H35" s="23" t="str">
        <f t="shared" si="3"/>
        <v>(4,2927125;4,3033]</v>
      </c>
      <c r="I35" s="25">
        <f t="shared" si="1"/>
        <v>4.2927124999999959</v>
      </c>
      <c r="J35" s="25">
        <f t="shared" si="2"/>
        <v>4.3032999999999957</v>
      </c>
      <c r="K35" s="33"/>
      <c r="L35" s="35">
        <v>4</v>
      </c>
      <c r="M35" s="36">
        <f>SUBTOTAL(9,$L$20:L35)</f>
        <v>236</v>
      </c>
      <c r="N35" s="37">
        <f t="shared" si="0"/>
        <v>1</v>
      </c>
    </row>
    <row r="36" spans="1:14">
      <c r="A36" s="8">
        <v>28</v>
      </c>
      <c r="C36" s="19">
        <v>45699</v>
      </c>
      <c r="D36" s="16">
        <v>4.1783000000000001</v>
      </c>
    </row>
    <row r="37" spans="1:14">
      <c r="A37" s="8">
        <v>29</v>
      </c>
      <c r="C37" s="19">
        <v>45700</v>
      </c>
      <c r="D37" s="16">
        <v>4.1721000000000004</v>
      </c>
    </row>
    <row r="38" spans="1:14">
      <c r="A38" s="8">
        <v>30</v>
      </c>
      <c r="C38" s="19">
        <v>45701</v>
      </c>
      <c r="D38" s="16">
        <v>4.1651999999999996</v>
      </c>
    </row>
    <row r="39" spans="1:14">
      <c r="A39" s="8">
        <v>31</v>
      </c>
      <c r="C39" s="19">
        <v>45702</v>
      </c>
      <c r="D39" s="16">
        <v>4.1631999999999998</v>
      </c>
    </row>
    <row r="40" spans="1:14">
      <c r="A40" s="8">
        <v>32</v>
      </c>
      <c r="C40" s="19">
        <v>45705</v>
      </c>
      <c r="D40" s="16">
        <v>4.1635</v>
      </c>
    </row>
    <row r="41" spans="1:14">
      <c r="A41" s="8">
        <v>33</v>
      </c>
      <c r="C41" s="19">
        <v>45706</v>
      </c>
      <c r="D41" s="16">
        <v>4.1574</v>
      </c>
    </row>
    <row r="42" spans="1:14">
      <c r="A42" s="8">
        <v>34</v>
      </c>
      <c r="C42" s="19">
        <v>45707</v>
      </c>
      <c r="D42" s="16">
        <v>4.1581999999999999</v>
      </c>
    </row>
    <row r="43" spans="1:14">
      <c r="A43" s="8">
        <v>35</v>
      </c>
      <c r="C43" s="19">
        <v>45708</v>
      </c>
      <c r="D43" s="16">
        <v>4.1722999999999999</v>
      </c>
    </row>
    <row r="44" spans="1:14">
      <c r="A44" s="8">
        <v>36</v>
      </c>
      <c r="C44" s="19">
        <v>45709</v>
      </c>
      <c r="D44" s="16">
        <v>4.1704999999999997</v>
      </c>
    </row>
    <row r="45" spans="1:14">
      <c r="A45" s="8">
        <v>37</v>
      </c>
      <c r="C45" s="19">
        <v>45712</v>
      </c>
      <c r="D45" s="16">
        <v>4.1608999999999998</v>
      </c>
    </row>
    <row r="46" spans="1:14">
      <c r="A46" s="8">
        <v>38</v>
      </c>
      <c r="C46" s="19">
        <v>45713</v>
      </c>
      <c r="D46" s="16">
        <v>4.1338999999999997</v>
      </c>
    </row>
    <row r="47" spans="1:14">
      <c r="A47" s="8">
        <v>39</v>
      </c>
      <c r="C47" s="19">
        <v>45714</v>
      </c>
      <c r="D47" s="16">
        <v>4.1394000000000002</v>
      </c>
    </row>
    <row r="48" spans="1:14">
      <c r="A48" s="8">
        <v>40</v>
      </c>
      <c r="C48" s="19">
        <v>45715</v>
      </c>
      <c r="D48" s="16">
        <v>4.1371000000000002</v>
      </c>
    </row>
    <row r="49" spans="1:4">
      <c r="A49" s="8">
        <v>41</v>
      </c>
      <c r="C49" s="19">
        <v>45716</v>
      </c>
      <c r="D49" s="16">
        <v>4.1574999999999998</v>
      </c>
    </row>
    <row r="50" spans="1:4">
      <c r="A50" s="8">
        <v>42</v>
      </c>
      <c r="B50" t="s">
        <v>23</v>
      </c>
      <c r="C50" s="19">
        <v>45719</v>
      </c>
      <c r="D50" s="16">
        <v>4.1826999999999996</v>
      </c>
    </row>
    <row r="51" spans="1:4">
      <c r="A51" s="8">
        <v>43</v>
      </c>
      <c r="C51" s="19">
        <v>45720</v>
      </c>
      <c r="D51" s="16">
        <v>4.1567999999999996</v>
      </c>
    </row>
    <row r="52" spans="1:4">
      <c r="A52" s="8">
        <v>44</v>
      </c>
      <c r="C52" s="19">
        <v>45721</v>
      </c>
      <c r="D52" s="16">
        <v>4.1544999999999996</v>
      </c>
    </row>
    <row r="53" spans="1:4">
      <c r="A53" s="8">
        <v>45</v>
      </c>
      <c r="C53" s="19">
        <v>45722</v>
      </c>
      <c r="D53" s="16">
        <v>4.1765999999999996</v>
      </c>
    </row>
    <row r="54" spans="1:4">
      <c r="A54" s="8">
        <v>46</v>
      </c>
      <c r="C54" s="19">
        <v>45723</v>
      </c>
      <c r="D54" s="16">
        <v>4.1760000000000002</v>
      </c>
    </row>
    <row r="55" spans="1:4">
      <c r="A55" s="8">
        <v>47</v>
      </c>
      <c r="C55" s="19">
        <v>45726</v>
      </c>
      <c r="D55" s="16">
        <v>4.1856999999999998</v>
      </c>
    </row>
    <row r="56" spans="1:4">
      <c r="A56" s="8">
        <v>48</v>
      </c>
      <c r="C56" s="19">
        <v>45727</v>
      </c>
      <c r="D56" s="16">
        <v>4.1977000000000002</v>
      </c>
    </row>
    <row r="57" spans="1:4">
      <c r="A57" s="8">
        <v>49</v>
      </c>
      <c r="C57" s="19">
        <v>45728</v>
      </c>
      <c r="D57" s="16">
        <v>4.2016999999999998</v>
      </c>
    </row>
    <row r="58" spans="1:4">
      <c r="A58" s="8">
        <v>50</v>
      </c>
      <c r="C58" s="19">
        <v>45729</v>
      </c>
      <c r="D58" s="16">
        <v>4.1959999999999997</v>
      </c>
    </row>
    <row r="59" spans="1:4">
      <c r="A59" s="8">
        <v>51</v>
      </c>
      <c r="C59" s="19">
        <v>45730</v>
      </c>
      <c r="D59" s="16">
        <v>4.1790000000000003</v>
      </c>
    </row>
    <row r="60" spans="1:4">
      <c r="A60" s="8">
        <v>52</v>
      </c>
      <c r="C60" s="19">
        <v>45733</v>
      </c>
      <c r="D60" s="16">
        <v>4.1776999999999997</v>
      </c>
    </row>
    <row r="61" spans="1:4">
      <c r="A61" s="8">
        <v>53</v>
      </c>
      <c r="C61" s="19">
        <v>45734</v>
      </c>
      <c r="D61" s="16">
        <v>4.1776</v>
      </c>
    </row>
    <row r="62" spans="1:4">
      <c r="A62" s="8">
        <v>54</v>
      </c>
      <c r="C62" s="19">
        <v>45735</v>
      </c>
      <c r="D62" s="16">
        <v>4.1944999999999997</v>
      </c>
    </row>
    <row r="63" spans="1:4">
      <c r="A63" s="8">
        <v>55</v>
      </c>
      <c r="C63" s="19">
        <v>45736</v>
      </c>
      <c r="D63" s="16">
        <v>4.1971999999999996</v>
      </c>
    </row>
    <row r="64" spans="1:4">
      <c r="A64" s="8">
        <v>56</v>
      </c>
      <c r="C64" s="19">
        <v>45737</v>
      </c>
      <c r="D64" s="16">
        <v>4.1978999999999997</v>
      </c>
    </row>
    <row r="65" spans="1:4">
      <c r="A65" s="8">
        <v>57</v>
      </c>
      <c r="C65" s="19">
        <v>45740</v>
      </c>
      <c r="D65" s="16">
        <v>4.1832000000000003</v>
      </c>
    </row>
    <row r="66" spans="1:4">
      <c r="A66" s="8">
        <v>58</v>
      </c>
      <c r="C66" s="19">
        <v>45741</v>
      </c>
      <c r="D66" s="16">
        <v>4.1664000000000003</v>
      </c>
    </row>
    <row r="67" spans="1:4">
      <c r="A67" s="8">
        <v>59</v>
      </c>
      <c r="C67" s="19">
        <v>45742</v>
      </c>
      <c r="D67" s="16">
        <v>4.1685999999999996</v>
      </c>
    </row>
    <row r="68" spans="1:4">
      <c r="A68" s="8">
        <v>60</v>
      </c>
      <c r="C68" s="19">
        <v>45743</v>
      </c>
      <c r="D68" s="16">
        <v>4.1913</v>
      </c>
    </row>
    <row r="69" spans="1:4">
      <c r="A69" s="8">
        <v>61</v>
      </c>
      <c r="C69" s="19">
        <v>45744</v>
      </c>
      <c r="D69" s="16">
        <v>4.1818999999999997</v>
      </c>
    </row>
    <row r="70" spans="1:4">
      <c r="A70" s="8">
        <v>62</v>
      </c>
      <c r="C70" s="19">
        <v>45747</v>
      </c>
      <c r="D70" s="16">
        <v>4.1839000000000004</v>
      </c>
    </row>
    <row r="71" spans="1:4">
      <c r="A71" s="8">
        <v>63</v>
      </c>
      <c r="B71" t="s">
        <v>24</v>
      </c>
      <c r="C71" s="19">
        <v>45748</v>
      </c>
      <c r="D71" s="16">
        <v>4.1818</v>
      </c>
    </row>
    <row r="72" spans="1:4">
      <c r="A72" s="8">
        <v>64</v>
      </c>
      <c r="C72" s="19">
        <v>45749</v>
      </c>
      <c r="D72" s="16">
        <v>4.1794000000000002</v>
      </c>
    </row>
    <row r="73" spans="1:4">
      <c r="A73" s="8">
        <v>65</v>
      </c>
      <c r="C73" s="19">
        <v>45750</v>
      </c>
      <c r="D73" s="16">
        <v>4.1791</v>
      </c>
    </row>
    <row r="74" spans="1:4">
      <c r="A74" s="8">
        <v>66</v>
      </c>
      <c r="C74" s="19">
        <v>45751</v>
      </c>
      <c r="D74" s="16">
        <v>4.2403000000000004</v>
      </c>
    </row>
    <row r="75" spans="1:4">
      <c r="A75" s="8">
        <v>67</v>
      </c>
      <c r="C75" s="19">
        <v>45754</v>
      </c>
      <c r="D75" s="16">
        <v>4.2975000000000003</v>
      </c>
    </row>
    <row r="76" spans="1:4">
      <c r="A76" s="8">
        <v>68</v>
      </c>
      <c r="C76" s="19">
        <v>45755</v>
      </c>
      <c r="D76" s="16">
        <v>4.2946</v>
      </c>
    </row>
    <row r="77" spans="1:4">
      <c r="A77" s="8">
        <v>69</v>
      </c>
      <c r="C77" s="19">
        <v>45756</v>
      </c>
      <c r="D77" s="16">
        <v>4.2817999999999996</v>
      </c>
    </row>
    <row r="78" spans="1:4">
      <c r="A78" s="8">
        <v>70</v>
      </c>
      <c r="C78" s="19">
        <v>45757</v>
      </c>
      <c r="D78" s="16">
        <v>4.2644000000000002</v>
      </c>
    </row>
    <row r="79" spans="1:4">
      <c r="A79" s="8">
        <v>71</v>
      </c>
      <c r="C79" s="19">
        <v>45758</v>
      </c>
      <c r="D79" s="16">
        <v>4.2972000000000001</v>
      </c>
    </row>
    <row r="80" spans="1:4">
      <c r="A80" s="8">
        <v>72</v>
      </c>
      <c r="C80" s="19">
        <v>45761</v>
      </c>
      <c r="D80" s="16">
        <v>4.2775999999999996</v>
      </c>
    </row>
    <row r="81" spans="1:4">
      <c r="A81" s="8">
        <v>73</v>
      </c>
      <c r="C81" s="19">
        <v>45762</v>
      </c>
      <c r="D81" s="16">
        <v>4.2766999999999999</v>
      </c>
    </row>
    <row r="82" spans="1:4">
      <c r="A82" s="8">
        <v>74</v>
      </c>
      <c r="C82" s="19">
        <v>45763</v>
      </c>
      <c r="D82" s="16">
        <v>4.3033000000000001</v>
      </c>
    </row>
    <row r="83" spans="1:4">
      <c r="A83" s="8">
        <v>75</v>
      </c>
      <c r="C83" s="19">
        <v>45764</v>
      </c>
      <c r="D83" s="16">
        <v>4.2878999999999996</v>
      </c>
    </row>
    <row r="84" spans="1:4">
      <c r="A84" s="8">
        <v>76</v>
      </c>
      <c r="C84" s="19">
        <v>45765</v>
      </c>
      <c r="D84" s="16">
        <v>4.2823000000000002</v>
      </c>
    </row>
    <row r="85" spans="1:4">
      <c r="A85" s="8">
        <v>77</v>
      </c>
      <c r="C85" s="19">
        <v>45769</v>
      </c>
      <c r="D85" s="16">
        <v>4.2801</v>
      </c>
    </row>
    <row r="86" spans="1:4">
      <c r="A86" s="8">
        <v>78</v>
      </c>
      <c r="C86" s="19">
        <v>45770</v>
      </c>
      <c r="D86" s="16">
        <v>4.2892999999999999</v>
      </c>
    </row>
    <row r="87" spans="1:4">
      <c r="A87" s="8">
        <v>79</v>
      </c>
      <c r="C87" s="19">
        <v>45771</v>
      </c>
      <c r="D87" s="16">
        <v>4.2789000000000001</v>
      </c>
    </row>
    <row r="88" spans="1:4">
      <c r="A88" s="8">
        <v>80</v>
      </c>
      <c r="C88" s="19">
        <v>45772</v>
      </c>
      <c r="D88" s="16">
        <v>4.2687999999999997</v>
      </c>
    </row>
    <row r="89" spans="1:4">
      <c r="A89" s="8">
        <v>81</v>
      </c>
      <c r="C89" s="19">
        <v>45775</v>
      </c>
      <c r="D89" s="16">
        <v>4.2766000000000002</v>
      </c>
    </row>
    <row r="90" spans="1:4">
      <c r="A90" s="8">
        <v>82</v>
      </c>
      <c r="C90" s="19">
        <v>45776</v>
      </c>
      <c r="D90" s="16">
        <v>4.2645999999999997</v>
      </c>
    </row>
    <row r="91" spans="1:4">
      <c r="A91" s="8">
        <v>83</v>
      </c>
      <c r="C91" s="19">
        <v>45777</v>
      </c>
      <c r="D91" s="16">
        <v>4.2778</v>
      </c>
    </row>
    <row r="92" spans="1:4">
      <c r="A92" s="8">
        <v>84</v>
      </c>
      <c r="B92" t="s">
        <v>25</v>
      </c>
      <c r="C92" s="19">
        <v>45779</v>
      </c>
      <c r="D92" s="16">
        <v>4.2750000000000004</v>
      </c>
    </row>
    <row r="93" spans="1:4">
      <c r="A93" s="8">
        <v>85</v>
      </c>
      <c r="C93" s="19">
        <v>45782</v>
      </c>
      <c r="D93" s="16">
        <v>4.2759999999999998</v>
      </c>
    </row>
    <row r="94" spans="1:4">
      <c r="A94" s="8">
        <v>86</v>
      </c>
      <c r="C94" s="19">
        <v>45783</v>
      </c>
      <c r="D94" s="16">
        <v>4.2805999999999997</v>
      </c>
    </row>
    <row r="95" spans="1:4">
      <c r="A95" s="8">
        <v>87</v>
      </c>
      <c r="C95" s="19">
        <v>45784</v>
      </c>
      <c r="D95" s="16">
        <v>4.2756999999999996</v>
      </c>
    </row>
    <row r="96" spans="1:4">
      <c r="A96" s="8">
        <v>88</v>
      </c>
      <c r="C96" s="19">
        <v>45785</v>
      </c>
      <c r="D96" s="16">
        <v>4.2713999999999999</v>
      </c>
    </row>
    <row r="97" spans="1:4">
      <c r="A97" s="8">
        <v>89</v>
      </c>
      <c r="C97" s="19">
        <v>45786</v>
      </c>
      <c r="D97" s="16">
        <v>4.2413999999999996</v>
      </c>
    </row>
    <row r="98" spans="1:4">
      <c r="A98" s="8">
        <v>90</v>
      </c>
      <c r="C98" s="19">
        <v>45789</v>
      </c>
      <c r="D98" s="16">
        <v>4.2336999999999998</v>
      </c>
    </row>
    <row r="99" spans="1:4">
      <c r="A99" s="8">
        <v>91</v>
      </c>
      <c r="C99" s="19">
        <v>45790</v>
      </c>
      <c r="D99" s="16">
        <v>4.2525000000000004</v>
      </c>
    </row>
    <row r="100" spans="1:4">
      <c r="A100" s="8">
        <v>92</v>
      </c>
      <c r="C100" s="19">
        <v>45791</v>
      </c>
      <c r="D100" s="16">
        <v>4.2454999999999998</v>
      </c>
    </row>
    <row r="101" spans="1:4">
      <c r="A101" s="8">
        <v>93</v>
      </c>
      <c r="C101" s="19">
        <v>45792</v>
      </c>
      <c r="D101" s="16">
        <v>4.2378</v>
      </c>
    </row>
    <row r="102" spans="1:4">
      <c r="A102" s="8">
        <v>94</v>
      </c>
      <c r="C102" s="19">
        <v>45793</v>
      </c>
      <c r="D102" s="16">
        <v>4.2392000000000003</v>
      </c>
    </row>
    <row r="103" spans="1:4">
      <c r="A103" s="8">
        <v>95</v>
      </c>
      <c r="C103" s="19">
        <v>45796</v>
      </c>
      <c r="D103" s="16">
        <v>4.2785000000000002</v>
      </c>
    </row>
    <row r="104" spans="1:4">
      <c r="A104" s="8">
        <v>96</v>
      </c>
      <c r="C104" s="19">
        <v>45797</v>
      </c>
      <c r="D104" s="16">
        <v>4.2496999999999998</v>
      </c>
    </row>
    <row r="105" spans="1:4">
      <c r="A105" s="8">
        <v>97</v>
      </c>
      <c r="C105" s="19">
        <v>45798</v>
      </c>
      <c r="D105" s="16">
        <v>4.2403000000000004</v>
      </c>
    </row>
    <row r="106" spans="1:4">
      <c r="A106" s="8">
        <v>98</v>
      </c>
      <c r="C106" s="19">
        <v>45799</v>
      </c>
      <c r="D106" s="16">
        <v>4.2446999999999999</v>
      </c>
    </row>
    <row r="107" spans="1:4">
      <c r="A107" s="8">
        <v>99</v>
      </c>
      <c r="C107" s="19">
        <v>45800</v>
      </c>
      <c r="D107" s="16">
        <v>4.2541000000000002</v>
      </c>
    </row>
    <row r="108" spans="1:4">
      <c r="A108" s="8">
        <v>100</v>
      </c>
      <c r="C108" s="19">
        <v>45803</v>
      </c>
      <c r="D108" s="16">
        <v>4.2514000000000003</v>
      </c>
    </row>
    <row r="109" spans="1:4">
      <c r="A109" s="8">
        <v>101</v>
      </c>
      <c r="C109" s="19">
        <v>45804</v>
      </c>
      <c r="D109" s="16">
        <v>4.2478999999999996</v>
      </c>
    </row>
    <row r="110" spans="1:4">
      <c r="A110" s="8">
        <v>102</v>
      </c>
      <c r="C110" s="19">
        <v>45805</v>
      </c>
      <c r="D110" s="16">
        <v>4.2446999999999999</v>
      </c>
    </row>
    <row r="111" spans="1:4">
      <c r="A111" s="8">
        <v>103</v>
      </c>
      <c r="C111" s="19">
        <v>45806</v>
      </c>
      <c r="D111" s="16">
        <v>4.2369000000000003</v>
      </c>
    </row>
    <row r="112" spans="1:4">
      <c r="A112" s="8">
        <v>104</v>
      </c>
      <c r="C112" s="19">
        <v>45807</v>
      </c>
      <c r="D112" s="16">
        <v>4.2507000000000001</v>
      </c>
    </row>
    <row r="113" spans="1:4">
      <c r="A113" s="8">
        <v>105</v>
      </c>
      <c r="B113" t="s">
        <v>26</v>
      </c>
      <c r="C113" s="19">
        <v>45810</v>
      </c>
      <c r="D113" s="16">
        <v>4.2577999999999996</v>
      </c>
    </row>
    <row r="114" spans="1:4">
      <c r="A114" s="8">
        <v>106</v>
      </c>
      <c r="C114" s="19">
        <v>45811</v>
      </c>
      <c r="D114" s="16">
        <v>4.2721</v>
      </c>
    </row>
    <row r="115" spans="1:4">
      <c r="A115" s="8">
        <v>107</v>
      </c>
      <c r="C115" s="19">
        <v>45812</v>
      </c>
      <c r="D115" s="16">
        <v>4.2778</v>
      </c>
    </row>
    <row r="116" spans="1:4">
      <c r="A116" s="8">
        <v>108</v>
      </c>
      <c r="C116" s="19">
        <v>45813</v>
      </c>
      <c r="D116" s="16">
        <v>4.2790999999999997</v>
      </c>
    </row>
    <row r="117" spans="1:4">
      <c r="A117" s="8">
        <v>109</v>
      </c>
      <c r="C117" s="19">
        <v>45814</v>
      </c>
      <c r="D117" s="16">
        <v>4.2881</v>
      </c>
    </row>
    <row r="118" spans="1:4">
      <c r="A118" s="8">
        <v>110</v>
      </c>
      <c r="C118" s="19">
        <v>45817</v>
      </c>
      <c r="D118" s="16">
        <v>4.2771999999999997</v>
      </c>
    </row>
    <row r="119" spans="1:4">
      <c r="A119" s="8">
        <v>111</v>
      </c>
      <c r="C119" s="19">
        <v>45818</v>
      </c>
      <c r="D119" s="16">
        <v>4.2610999999999999</v>
      </c>
    </row>
    <row r="120" spans="1:4">
      <c r="A120" s="8">
        <v>112</v>
      </c>
      <c r="C120" s="19">
        <v>45819</v>
      </c>
      <c r="D120" s="16">
        <v>4.2643000000000004</v>
      </c>
    </row>
    <row r="121" spans="1:4">
      <c r="A121" s="8">
        <v>113</v>
      </c>
      <c r="C121" s="19">
        <v>45820</v>
      </c>
      <c r="D121" s="16">
        <v>4.2630999999999997</v>
      </c>
    </row>
    <row r="122" spans="1:4">
      <c r="A122" s="8">
        <v>114</v>
      </c>
      <c r="C122" s="19">
        <v>45821</v>
      </c>
      <c r="D122" s="16">
        <v>4.2720000000000002</v>
      </c>
    </row>
    <row r="123" spans="1:4">
      <c r="A123" s="8">
        <v>115</v>
      </c>
      <c r="C123" s="19">
        <v>45824</v>
      </c>
      <c r="D123" s="16">
        <v>4.2611999999999997</v>
      </c>
    </row>
    <row r="124" spans="1:4">
      <c r="A124" s="8">
        <v>116</v>
      </c>
      <c r="C124" s="19">
        <v>45825</v>
      </c>
      <c r="D124" s="16">
        <v>4.2750000000000004</v>
      </c>
    </row>
    <row r="125" spans="1:4">
      <c r="A125" s="8">
        <v>117</v>
      </c>
      <c r="C125" s="19">
        <v>45826</v>
      </c>
      <c r="D125" s="16">
        <v>4.2717000000000001</v>
      </c>
    </row>
    <row r="126" spans="1:4">
      <c r="A126" s="8">
        <v>118</v>
      </c>
      <c r="C126" s="19">
        <v>45828</v>
      </c>
      <c r="D126" s="16">
        <v>4.2709000000000001</v>
      </c>
    </row>
    <row r="127" spans="1:4">
      <c r="A127" s="8">
        <v>119</v>
      </c>
      <c r="C127" s="19">
        <v>45831</v>
      </c>
      <c r="D127" s="16">
        <v>4.2727000000000004</v>
      </c>
    </row>
    <row r="128" spans="1:4">
      <c r="A128" s="8">
        <v>120</v>
      </c>
      <c r="C128" s="19">
        <v>45832</v>
      </c>
      <c r="D128" s="16">
        <v>4.2603999999999997</v>
      </c>
    </row>
    <row r="129" spans="1:4">
      <c r="A129" s="8">
        <v>121</v>
      </c>
      <c r="C129" s="19">
        <v>45833</v>
      </c>
      <c r="D129" s="16">
        <v>4.2478999999999996</v>
      </c>
    </row>
    <row r="130" spans="1:4">
      <c r="A130" s="8">
        <v>122</v>
      </c>
      <c r="C130" s="19">
        <v>45834</v>
      </c>
      <c r="D130" s="16">
        <v>4.2478999999999996</v>
      </c>
    </row>
    <row r="131" spans="1:4">
      <c r="A131" s="8">
        <v>123</v>
      </c>
      <c r="C131" s="19">
        <v>45835</v>
      </c>
      <c r="D131" s="16">
        <v>4.2362000000000002</v>
      </c>
    </row>
    <row r="132" spans="1:4">
      <c r="A132" s="8">
        <v>124</v>
      </c>
      <c r="C132" s="19">
        <v>45838</v>
      </c>
      <c r="D132" s="16">
        <v>4.2419000000000002</v>
      </c>
    </row>
    <row r="133" spans="1:4">
      <c r="A133" s="8">
        <v>125</v>
      </c>
      <c r="B133" t="s">
        <v>27</v>
      </c>
      <c r="C133" s="19">
        <v>45839</v>
      </c>
      <c r="D133" s="16">
        <v>4.2415000000000003</v>
      </c>
    </row>
    <row r="134" spans="1:4">
      <c r="A134" s="8">
        <v>126</v>
      </c>
      <c r="C134" s="19">
        <v>45840</v>
      </c>
      <c r="D134" s="16">
        <v>4.25</v>
      </c>
    </row>
    <row r="135" spans="1:4">
      <c r="A135" s="8">
        <v>127</v>
      </c>
      <c r="C135" s="19">
        <v>45841</v>
      </c>
      <c r="D135" s="16">
        <v>4.2633999999999999</v>
      </c>
    </row>
    <row r="136" spans="1:4">
      <c r="A136" s="8">
        <v>128</v>
      </c>
      <c r="C136" s="19">
        <v>45842</v>
      </c>
      <c r="D136" s="16">
        <v>4.2515000000000001</v>
      </c>
    </row>
    <row r="137" spans="1:4">
      <c r="A137" s="8">
        <v>129</v>
      </c>
      <c r="C137" s="19">
        <v>45845</v>
      </c>
      <c r="D137" s="16">
        <v>4.2523999999999997</v>
      </c>
    </row>
    <row r="138" spans="1:4">
      <c r="A138" s="8">
        <v>130</v>
      </c>
      <c r="C138" s="19">
        <v>45846</v>
      </c>
      <c r="D138" s="16">
        <v>4.2454999999999998</v>
      </c>
    </row>
    <row r="139" spans="1:4">
      <c r="A139" s="8">
        <v>131</v>
      </c>
      <c r="C139" s="19">
        <v>45847</v>
      </c>
      <c r="D139" s="16">
        <v>4.2398999999999996</v>
      </c>
    </row>
    <row r="140" spans="1:4">
      <c r="A140" s="8">
        <v>132</v>
      </c>
      <c r="C140" s="19">
        <v>45848</v>
      </c>
      <c r="D140" s="16">
        <v>4.2464000000000004</v>
      </c>
    </row>
    <row r="141" spans="1:4">
      <c r="A141" s="8">
        <v>133</v>
      </c>
      <c r="C141" s="19">
        <v>45849</v>
      </c>
      <c r="D141" s="16">
        <v>4.2563000000000004</v>
      </c>
    </row>
    <row r="142" spans="1:4">
      <c r="A142" s="8">
        <v>134</v>
      </c>
      <c r="C142" s="19">
        <v>45852</v>
      </c>
      <c r="D142" s="16">
        <v>4.2614000000000001</v>
      </c>
    </row>
    <row r="143" spans="1:4">
      <c r="A143" s="8">
        <v>135</v>
      </c>
      <c r="C143" s="19">
        <v>45853</v>
      </c>
      <c r="D143" s="16">
        <v>4.2538</v>
      </c>
    </row>
    <row r="144" spans="1:4">
      <c r="A144" s="8">
        <v>136</v>
      </c>
      <c r="C144" s="19">
        <v>45854</v>
      </c>
      <c r="D144" s="16">
        <v>4.2584999999999997</v>
      </c>
    </row>
    <row r="145" spans="1:4">
      <c r="A145" s="8">
        <v>137</v>
      </c>
      <c r="C145" s="19">
        <v>45855</v>
      </c>
      <c r="D145" s="16">
        <v>4.2558999999999996</v>
      </c>
    </row>
    <row r="146" spans="1:4">
      <c r="A146" s="8">
        <v>138</v>
      </c>
      <c r="C146" s="19">
        <v>45856</v>
      </c>
      <c r="D146" s="16">
        <v>4.2508999999999997</v>
      </c>
    </row>
    <row r="147" spans="1:4">
      <c r="A147" s="8">
        <v>139</v>
      </c>
      <c r="C147" s="19">
        <v>45859</v>
      </c>
      <c r="D147" s="16">
        <v>4.2445000000000004</v>
      </c>
    </row>
    <row r="148" spans="1:4">
      <c r="A148" s="8">
        <v>140</v>
      </c>
      <c r="C148" s="19">
        <v>45860</v>
      </c>
      <c r="D148" s="16">
        <v>4.2530999999999999</v>
      </c>
    </row>
    <row r="149" spans="1:4">
      <c r="A149" s="8">
        <v>141</v>
      </c>
      <c r="C149" s="19">
        <v>45861</v>
      </c>
      <c r="D149" s="16">
        <v>4.2544000000000004</v>
      </c>
    </row>
    <row r="150" spans="1:4">
      <c r="A150" s="8">
        <v>142</v>
      </c>
      <c r="C150" s="19">
        <v>45862</v>
      </c>
      <c r="D150" s="16">
        <v>4.2514000000000003</v>
      </c>
    </row>
    <row r="151" spans="1:4">
      <c r="A151" s="8">
        <v>143</v>
      </c>
      <c r="C151" s="19">
        <v>45863</v>
      </c>
      <c r="D151" s="16">
        <v>4.2544000000000004</v>
      </c>
    </row>
    <row r="152" spans="1:4">
      <c r="A152" s="8">
        <v>144</v>
      </c>
      <c r="C152" s="19">
        <v>45866</v>
      </c>
      <c r="D152" s="16">
        <v>4.2565</v>
      </c>
    </row>
    <row r="153" spans="1:4">
      <c r="A153" s="8">
        <v>145</v>
      </c>
      <c r="C153" s="19">
        <v>45867</v>
      </c>
      <c r="D153" s="16">
        <v>4.2736999999999998</v>
      </c>
    </row>
    <row r="154" spans="1:4">
      <c r="A154" s="8">
        <v>146</v>
      </c>
      <c r="C154" s="19">
        <v>45868</v>
      </c>
      <c r="D154" s="16">
        <v>4.2732000000000001</v>
      </c>
    </row>
    <row r="155" spans="1:4">
      <c r="A155" s="8">
        <v>147</v>
      </c>
      <c r="C155" s="19">
        <v>45869</v>
      </c>
      <c r="D155" s="16">
        <v>4.2660999999999998</v>
      </c>
    </row>
    <row r="156" spans="1:4">
      <c r="A156" s="8">
        <v>148</v>
      </c>
      <c r="B156" t="s">
        <v>28</v>
      </c>
      <c r="C156" s="19">
        <v>45870</v>
      </c>
      <c r="D156" s="16">
        <v>4.2812999999999999</v>
      </c>
    </row>
    <row r="157" spans="1:4">
      <c r="A157" s="8">
        <v>149</v>
      </c>
      <c r="C157" s="19">
        <v>45873</v>
      </c>
      <c r="D157" s="16">
        <v>4.2733999999999996</v>
      </c>
    </row>
    <row r="158" spans="1:4">
      <c r="A158" s="8">
        <v>150</v>
      </c>
      <c r="C158" s="19">
        <v>45874</v>
      </c>
      <c r="D158" s="16">
        <v>4.2763</v>
      </c>
    </row>
    <row r="159" spans="1:4">
      <c r="A159" s="8">
        <v>151</v>
      </c>
      <c r="C159" s="19">
        <v>45875</v>
      </c>
      <c r="D159" s="16">
        <v>4.282</v>
      </c>
    </row>
    <row r="160" spans="1:4">
      <c r="A160" s="8">
        <v>152</v>
      </c>
      <c r="C160" s="19">
        <v>45876</v>
      </c>
      <c r="D160" s="16">
        <v>4.2618</v>
      </c>
    </row>
    <row r="161" spans="1:4">
      <c r="A161" s="8">
        <v>153</v>
      </c>
      <c r="C161" s="19">
        <v>45877</v>
      </c>
      <c r="D161" s="16">
        <v>4.2565999999999997</v>
      </c>
    </row>
    <row r="162" spans="1:4">
      <c r="A162" s="8">
        <v>154</v>
      </c>
      <c r="C162" s="19">
        <v>45880</v>
      </c>
      <c r="D162" s="16">
        <v>4.2533000000000003</v>
      </c>
    </row>
    <row r="163" spans="1:4">
      <c r="A163" s="8">
        <v>155</v>
      </c>
      <c r="C163" s="19">
        <v>45881</v>
      </c>
      <c r="D163" s="16">
        <v>4.2625999999999999</v>
      </c>
    </row>
    <row r="164" spans="1:4">
      <c r="A164" s="8">
        <v>156</v>
      </c>
      <c r="C164" s="19">
        <v>45882</v>
      </c>
      <c r="D164" s="16">
        <v>4.2586000000000004</v>
      </c>
    </row>
    <row r="165" spans="1:4">
      <c r="A165" s="8">
        <v>157</v>
      </c>
      <c r="C165" s="19">
        <v>45883</v>
      </c>
      <c r="D165" s="16">
        <v>4.2638999999999996</v>
      </c>
    </row>
    <row r="166" spans="1:4">
      <c r="A166" s="8">
        <v>158</v>
      </c>
      <c r="C166" s="19">
        <v>45887</v>
      </c>
      <c r="D166" s="16">
        <v>4.2557999999999998</v>
      </c>
    </row>
    <row r="167" spans="1:4">
      <c r="A167" s="8">
        <v>159</v>
      </c>
      <c r="C167" s="19">
        <v>45888</v>
      </c>
      <c r="D167" s="16">
        <v>4.242</v>
      </c>
    </row>
    <row r="168" spans="1:4">
      <c r="A168" s="8">
        <v>160</v>
      </c>
      <c r="C168" s="19">
        <v>45889</v>
      </c>
      <c r="D168" s="16">
        <v>4.2523999999999997</v>
      </c>
    </row>
    <row r="169" spans="1:4">
      <c r="A169" s="8">
        <v>161</v>
      </c>
      <c r="C169" s="19">
        <v>45890</v>
      </c>
      <c r="D169" s="16">
        <v>4.2521000000000004</v>
      </c>
    </row>
    <row r="170" spans="1:4">
      <c r="A170" s="8">
        <v>162</v>
      </c>
      <c r="C170" s="19">
        <v>45891</v>
      </c>
      <c r="D170" s="16">
        <v>4.2670000000000003</v>
      </c>
    </row>
    <row r="171" spans="1:4">
      <c r="A171" s="8">
        <v>163</v>
      </c>
      <c r="C171" s="19">
        <v>45894</v>
      </c>
      <c r="D171" s="16">
        <v>4.2626999999999997</v>
      </c>
    </row>
    <row r="172" spans="1:4">
      <c r="A172" s="8">
        <v>164</v>
      </c>
      <c r="C172" s="19">
        <v>45895</v>
      </c>
      <c r="D172" s="16">
        <v>4.2656999999999998</v>
      </c>
    </row>
    <row r="173" spans="1:4">
      <c r="A173" s="8">
        <v>165</v>
      </c>
      <c r="C173" s="19">
        <v>45896</v>
      </c>
      <c r="D173" s="16">
        <v>4.2638999999999996</v>
      </c>
    </row>
    <row r="174" spans="1:4">
      <c r="A174" s="8">
        <v>166</v>
      </c>
      <c r="C174" s="19">
        <v>45897</v>
      </c>
      <c r="D174" s="16">
        <v>4.2680999999999996</v>
      </c>
    </row>
    <row r="175" spans="1:4">
      <c r="A175" s="8">
        <v>167</v>
      </c>
      <c r="C175" s="19">
        <v>45898</v>
      </c>
      <c r="D175" s="16">
        <v>4.2683999999999997</v>
      </c>
    </row>
    <row r="176" spans="1:4">
      <c r="A176" s="8">
        <v>168</v>
      </c>
      <c r="B176" t="s">
        <v>29</v>
      </c>
      <c r="C176" s="19">
        <v>45901</v>
      </c>
      <c r="D176" s="16">
        <v>4.2573999999999996</v>
      </c>
    </row>
    <row r="177" spans="1:4">
      <c r="A177" s="8">
        <v>169</v>
      </c>
      <c r="C177" s="19">
        <v>45902</v>
      </c>
      <c r="D177" s="16">
        <v>4.2651000000000003</v>
      </c>
    </row>
    <row r="178" spans="1:4">
      <c r="A178" s="8">
        <v>170</v>
      </c>
      <c r="C178" s="19">
        <v>45903</v>
      </c>
      <c r="D178" s="16">
        <v>4.2588999999999997</v>
      </c>
    </row>
    <row r="179" spans="1:4">
      <c r="A179" s="8">
        <v>171</v>
      </c>
      <c r="C179" s="19">
        <v>45904</v>
      </c>
      <c r="D179" s="16">
        <v>4.2553000000000001</v>
      </c>
    </row>
    <row r="180" spans="1:4">
      <c r="A180" s="8">
        <v>172</v>
      </c>
      <c r="C180" s="19">
        <v>45905</v>
      </c>
      <c r="D180" s="16">
        <v>4.2476000000000003</v>
      </c>
    </row>
    <row r="181" spans="1:4">
      <c r="A181" s="8">
        <v>173</v>
      </c>
      <c r="C181" s="19">
        <v>45908</v>
      </c>
      <c r="D181" s="16">
        <v>4.2484000000000002</v>
      </c>
    </row>
    <row r="182" spans="1:4">
      <c r="A182" s="8">
        <v>174</v>
      </c>
      <c r="C182" s="19">
        <v>45909</v>
      </c>
      <c r="D182" s="16">
        <v>4.2539999999999996</v>
      </c>
    </row>
    <row r="183" spans="1:4">
      <c r="A183" s="8">
        <v>175</v>
      </c>
      <c r="C183" s="19">
        <v>45910</v>
      </c>
      <c r="D183" s="16">
        <v>4.2603999999999997</v>
      </c>
    </row>
    <row r="184" spans="1:4">
      <c r="A184" s="8">
        <v>176</v>
      </c>
      <c r="C184" s="19">
        <v>45911</v>
      </c>
      <c r="D184" s="16">
        <v>4.2625999999999999</v>
      </c>
    </row>
    <row r="185" spans="1:4">
      <c r="A185" s="8">
        <v>177</v>
      </c>
      <c r="C185" s="19">
        <v>45912</v>
      </c>
      <c r="D185" s="16">
        <v>4.2592999999999996</v>
      </c>
    </row>
    <row r="186" spans="1:4">
      <c r="A186" s="8">
        <v>178</v>
      </c>
      <c r="C186" s="19">
        <v>45915</v>
      </c>
      <c r="D186" s="16">
        <v>4.2476000000000003</v>
      </c>
    </row>
    <row r="187" spans="1:4">
      <c r="A187" s="8">
        <v>179</v>
      </c>
      <c r="C187" s="19">
        <v>45916</v>
      </c>
      <c r="D187" s="16">
        <v>4.2504</v>
      </c>
    </row>
    <row r="188" spans="1:4">
      <c r="A188" s="8">
        <v>180</v>
      </c>
      <c r="C188" s="19">
        <v>45917</v>
      </c>
      <c r="D188" s="16">
        <v>4.2558999999999996</v>
      </c>
    </row>
    <row r="189" spans="1:4">
      <c r="A189" s="8">
        <v>181</v>
      </c>
      <c r="C189" s="19">
        <v>45918</v>
      </c>
      <c r="D189" s="16">
        <v>4.2564000000000002</v>
      </c>
    </row>
    <row r="190" spans="1:4">
      <c r="A190" s="8">
        <v>182</v>
      </c>
      <c r="C190" s="19">
        <v>45919</v>
      </c>
      <c r="D190" s="16">
        <v>4.2666000000000004</v>
      </c>
    </row>
    <row r="191" spans="1:4">
      <c r="A191" s="8">
        <v>183</v>
      </c>
      <c r="C191" s="19">
        <v>45922</v>
      </c>
      <c r="D191" s="16">
        <v>4.2645</v>
      </c>
    </row>
    <row r="192" spans="1:4">
      <c r="A192" s="8">
        <v>184</v>
      </c>
      <c r="C192" s="19">
        <v>45923</v>
      </c>
      <c r="D192" s="16">
        <v>4.2552000000000003</v>
      </c>
    </row>
    <row r="193" spans="1:4">
      <c r="A193" s="8">
        <v>185</v>
      </c>
      <c r="C193" s="19">
        <v>45924</v>
      </c>
      <c r="D193" s="16">
        <v>4.2675999999999998</v>
      </c>
    </row>
    <row r="194" spans="1:4">
      <c r="A194" s="8">
        <v>186</v>
      </c>
      <c r="C194" s="19">
        <v>45925</v>
      </c>
      <c r="D194" s="16">
        <v>4.2618999999999998</v>
      </c>
    </row>
    <row r="195" spans="1:4">
      <c r="A195" s="8">
        <v>187</v>
      </c>
      <c r="C195" s="19">
        <v>45926</v>
      </c>
      <c r="D195" s="16">
        <v>4.2667999999999999</v>
      </c>
    </row>
    <row r="196" spans="1:4">
      <c r="A196" s="8">
        <v>188</v>
      </c>
      <c r="C196" s="19">
        <v>45929</v>
      </c>
      <c r="D196" s="16">
        <v>4.2687999999999997</v>
      </c>
    </row>
    <row r="197" spans="1:4">
      <c r="A197" s="8">
        <v>189</v>
      </c>
      <c r="C197" s="19">
        <v>45930</v>
      </c>
      <c r="D197" s="16">
        <v>4.2691999999999997</v>
      </c>
    </row>
    <row r="198" spans="1:4">
      <c r="A198" s="8">
        <v>190</v>
      </c>
      <c r="B198" t="s">
        <v>30</v>
      </c>
      <c r="C198" s="19">
        <v>45931</v>
      </c>
      <c r="D198" s="16">
        <v>4.2586000000000004</v>
      </c>
    </row>
    <row r="199" spans="1:4">
      <c r="A199" s="8">
        <v>191</v>
      </c>
      <c r="C199" s="19">
        <v>45932</v>
      </c>
      <c r="D199" s="16">
        <v>4.2560000000000002</v>
      </c>
    </row>
    <row r="200" spans="1:4">
      <c r="A200" s="8">
        <v>192</v>
      </c>
      <c r="C200" s="19">
        <v>45933</v>
      </c>
      <c r="D200" s="16">
        <v>4.2558999999999996</v>
      </c>
    </row>
    <row r="201" spans="1:4">
      <c r="A201" s="8">
        <v>193</v>
      </c>
      <c r="C201" s="19">
        <v>45936</v>
      </c>
      <c r="D201" s="16">
        <v>4.2521000000000004</v>
      </c>
    </row>
    <row r="202" spans="1:4">
      <c r="A202" s="8">
        <v>194</v>
      </c>
      <c r="C202" s="19">
        <v>45937</v>
      </c>
      <c r="D202" s="16">
        <v>4.2558999999999996</v>
      </c>
    </row>
    <row r="203" spans="1:4">
      <c r="A203" s="8">
        <v>195</v>
      </c>
      <c r="C203" s="19">
        <v>45938</v>
      </c>
      <c r="D203" s="16">
        <v>4.2533000000000003</v>
      </c>
    </row>
    <row r="204" spans="1:4">
      <c r="A204" s="8">
        <v>196</v>
      </c>
      <c r="C204" s="19">
        <v>45939</v>
      </c>
      <c r="D204" s="16">
        <v>4.2568999999999999</v>
      </c>
    </row>
    <row r="205" spans="1:4">
      <c r="A205" s="8">
        <v>197</v>
      </c>
      <c r="C205" s="19">
        <v>45940</v>
      </c>
      <c r="D205" s="16">
        <v>4.2583000000000002</v>
      </c>
    </row>
    <row r="206" spans="1:4">
      <c r="A206" s="8">
        <v>198</v>
      </c>
      <c r="C206" s="19">
        <v>45943</v>
      </c>
      <c r="D206" s="16">
        <v>4.2591999999999999</v>
      </c>
    </row>
    <row r="207" spans="1:4">
      <c r="A207" s="8">
        <v>199</v>
      </c>
      <c r="C207" s="19">
        <v>45944</v>
      </c>
      <c r="D207" s="16">
        <v>4.2645</v>
      </c>
    </row>
    <row r="208" spans="1:4">
      <c r="A208" s="8">
        <v>200</v>
      </c>
      <c r="C208" s="19">
        <v>45945</v>
      </c>
      <c r="D208" s="16">
        <v>4.2556000000000003</v>
      </c>
    </row>
    <row r="209" spans="1:4">
      <c r="A209" s="8">
        <v>201</v>
      </c>
      <c r="C209" s="19">
        <v>45946</v>
      </c>
      <c r="D209" s="16">
        <v>4.2516999999999996</v>
      </c>
    </row>
    <row r="210" spans="1:4">
      <c r="A210" s="8">
        <v>202</v>
      </c>
      <c r="C210" s="19">
        <v>45947</v>
      </c>
      <c r="D210" s="16">
        <v>4.2565</v>
      </c>
    </row>
    <row r="211" spans="1:4">
      <c r="A211" s="8">
        <v>203</v>
      </c>
      <c r="C211" s="19">
        <v>45950</v>
      </c>
      <c r="D211" s="16">
        <v>4.2396000000000003</v>
      </c>
    </row>
    <row r="212" spans="1:4">
      <c r="A212" s="8">
        <v>204</v>
      </c>
      <c r="C212" s="19">
        <v>45951</v>
      </c>
      <c r="D212" s="16">
        <v>4.2392000000000003</v>
      </c>
    </row>
    <row r="213" spans="1:4">
      <c r="A213" s="8">
        <v>205</v>
      </c>
      <c r="C213" s="19">
        <v>45952</v>
      </c>
      <c r="D213" s="16">
        <v>4.2438000000000002</v>
      </c>
    </row>
    <row r="214" spans="1:4">
      <c r="A214" s="8">
        <v>206</v>
      </c>
      <c r="C214" s="19">
        <v>45953</v>
      </c>
      <c r="D214" s="16">
        <v>4.2347000000000001</v>
      </c>
    </row>
    <row r="215" spans="1:4">
      <c r="A215" s="8">
        <v>207</v>
      </c>
      <c r="C215" s="19">
        <v>45954</v>
      </c>
      <c r="D215" s="16">
        <v>4.2352999999999996</v>
      </c>
    </row>
    <row r="216" spans="1:4">
      <c r="A216" s="8">
        <v>208</v>
      </c>
      <c r="C216" s="19">
        <v>45957</v>
      </c>
      <c r="D216" s="16">
        <v>4.2352999999999996</v>
      </c>
    </row>
    <row r="217" spans="1:4">
      <c r="A217" s="8">
        <v>209</v>
      </c>
      <c r="C217" s="19">
        <v>45958</v>
      </c>
      <c r="D217" s="16">
        <v>4.2344999999999997</v>
      </c>
    </row>
    <row r="218" spans="1:4">
      <c r="A218" s="8">
        <v>210</v>
      </c>
      <c r="C218" s="19">
        <v>45959</v>
      </c>
      <c r="D218" s="16">
        <v>4.2374000000000001</v>
      </c>
    </row>
    <row r="219" spans="1:4">
      <c r="A219" s="8">
        <v>211</v>
      </c>
      <c r="C219" s="19">
        <v>45960</v>
      </c>
      <c r="D219" s="16">
        <v>4.2424999999999997</v>
      </c>
    </row>
    <row r="220" spans="1:4">
      <c r="A220" s="8">
        <v>212</v>
      </c>
      <c r="C220" s="19">
        <v>45961</v>
      </c>
      <c r="D220" s="16">
        <v>4.2542999999999997</v>
      </c>
    </row>
    <row r="221" spans="1:4">
      <c r="A221" s="8">
        <v>213</v>
      </c>
      <c r="B221" t="s">
        <v>31</v>
      </c>
      <c r="C221" s="19">
        <v>45964</v>
      </c>
      <c r="D221" s="16">
        <v>4.2526999999999999</v>
      </c>
    </row>
    <row r="222" spans="1:4">
      <c r="A222" s="8">
        <v>214</v>
      </c>
      <c r="C222" s="19">
        <v>45965</v>
      </c>
      <c r="D222" s="16">
        <v>4.2575000000000003</v>
      </c>
    </row>
    <row r="223" spans="1:4">
      <c r="A223" s="8">
        <v>215</v>
      </c>
      <c r="C223" s="19">
        <v>45966</v>
      </c>
      <c r="D223" s="16">
        <v>4.2596999999999996</v>
      </c>
    </row>
    <row r="224" spans="1:4">
      <c r="A224" s="8">
        <v>216</v>
      </c>
      <c r="C224" s="19">
        <v>45967</v>
      </c>
      <c r="D224" s="16">
        <v>4.2565999999999997</v>
      </c>
    </row>
    <row r="225" spans="1:4">
      <c r="A225" s="8">
        <v>217</v>
      </c>
      <c r="C225" s="19">
        <v>45968</v>
      </c>
      <c r="D225" s="16">
        <v>4.2483000000000004</v>
      </c>
    </row>
    <row r="226" spans="1:4">
      <c r="A226" s="8">
        <v>218</v>
      </c>
      <c r="C226" s="19">
        <v>45971</v>
      </c>
      <c r="D226" s="16">
        <v>4.2351000000000001</v>
      </c>
    </row>
    <row r="227" spans="1:4">
      <c r="A227" s="8">
        <v>219</v>
      </c>
      <c r="C227" s="19">
        <v>45973</v>
      </c>
      <c r="D227" s="16">
        <v>4.2312000000000003</v>
      </c>
    </row>
    <row r="228" spans="1:4">
      <c r="A228" s="8">
        <v>220</v>
      </c>
      <c r="C228" s="19">
        <v>45974</v>
      </c>
      <c r="D228" s="16">
        <v>4.2304000000000004</v>
      </c>
    </row>
    <row r="229" spans="1:4">
      <c r="A229" s="8">
        <v>221</v>
      </c>
      <c r="C229" s="19">
        <v>45975</v>
      </c>
      <c r="D229" s="16">
        <v>4.2274000000000003</v>
      </c>
    </row>
    <row r="230" spans="1:4">
      <c r="A230" s="8">
        <v>222</v>
      </c>
      <c r="C230" s="19">
        <v>45978</v>
      </c>
      <c r="D230" s="16">
        <v>4.2230999999999996</v>
      </c>
    </row>
    <row r="231" spans="1:4">
      <c r="A231" s="8">
        <v>223</v>
      </c>
      <c r="C231" s="19">
        <v>45979</v>
      </c>
      <c r="D231" s="16">
        <v>4.2331000000000003</v>
      </c>
    </row>
    <row r="232" spans="1:4">
      <c r="A232" s="8">
        <v>224</v>
      </c>
      <c r="C232" s="19">
        <v>45980</v>
      </c>
      <c r="D232" s="16">
        <v>4.2423999999999999</v>
      </c>
    </row>
    <row r="233" spans="1:4">
      <c r="A233" s="8">
        <v>225</v>
      </c>
      <c r="C233" s="19">
        <v>45981</v>
      </c>
      <c r="D233" s="16">
        <v>4.2289000000000003</v>
      </c>
    </row>
    <row r="234" spans="1:4">
      <c r="A234" s="8">
        <v>226</v>
      </c>
      <c r="C234" s="19">
        <v>45982</v>
      </c>
      <c r="D234" s="16">
        <v>4.2488999999999999</v>
      </c>
    </row>
    <row r="235" spans="1:4">
      <c r="A235" s="8">
        <v>227</v>
      </c>
      <c r="C235" s="19">
        <v>45985</v>
      </c>
      <c r="D235" s="16">
        <v>4.2344999999999997</v>
      </c>
    </row>
    <row r="236" spans="1:4">
      <c r="A236" s="8">
        <v>228</v>
      </c>
      <c r="C236" s="19">
        <v>45986</v>
      </c>
      <c r="D236" s="16">
        <v>4.2301000000000002</v>
      </c>
    </row>
    <row r="237" spans="1:4">
      <c r="A237" s="8">
        <v>229</v>
      </c>
      <c r="C237" s="19">
        <v>45987</v>
      </c>
      <c r="D237" s="16">
        <v>4.2329999999999997</v>
      </c>
    </row>
    <row r="238" spans="1:4">
      <c r="A238" s="8">
        <v>230</v>
      </c>
      <c r="C238" s="19">
        <v>45988</v>
      </c>
      <c r="D238" s="16">
        <v>4.2270000000000003</v>
      </c>
    </row>
    <row r="239" spans="1:4">
      <c r="A239" s="8">
        <v>231</v>
      </c>
      <c r="C239" s="19">
        <v>45989</v>
      </c>
      <c r="D239" s="16">
        <v>4.2369000000000003</v>
      </c>
    </row>
    <row r="240" spans="1:4">
      <c r="A240" s="8">
        <v>232</v>
      </c>
      <c r="B240" t="s">
        <v>32</v>
      </c>
      <c r="C240" s="19">
        <v>45992</v>
      </c>
      <c r="D240" s="16">
        <v>4.2286000000000001</v>
      </c>
    </row>
    <row r="241" spans="1:4">
      <c r="A241" s="8">
        <v>233</v>
      </c>
      <c r="C241" s="19">
        <v>45993</v>
      </c>
      <c r="D241" s="16">
        <v>4.2389999999999999</v>
      </c>
    </row>
    <row r="242" spans="1:4">
      <c r="A242" s="8">
        <v>234</v>
      </c>
      <c r="C242" s="19">
        <v>45994</v>
      </c>
      <c r="D242" s="16">
        <v>4.2312000000000003</v>
      </c>
    </row>
    <row r="243" spans="1:4">
      <c r="A243" s="8">
        <v>235</v>
      </c>
      <c r="C243" s="19">
        <v>45995</v>
      </c>
      <c r="D243" s="16">
        <v>4.2298999999999998</v>
      </c>
    </row>
    <row r="244" spans="1:4">
      <c r="A244" s="8">
        <v>236</v>
      </c>
      <c r="C244" s="19">
        <v>45996</v>
      </c>
      <c r="D244" s="16">
        <v>4.2321</v>
      </c>
    </row>
    <row r="247" spans="1:4">
      <c r="C247" t="s">
        <v>37</v>
      </c>
      <c r="D247" s="14">
        <v>236</v>
      </c>
    </row>
    <row r="248" spans="1:4">
      <c r="C248" t="s">
        <v>38</v>
      </c>
      <c r="D248" s="21">
        <f>MIN(D9:D244)</f>
        <v>4.1338999999999997</v>
      </c>
    </row>
    <row r="249" spans="1:4">
      <c r="C249" t="s">
        <v>39</v>
      </c>
      <c r="D249" s="21">
        <f>MAX(D9:D244)</f>
        <v>4.3033000000000001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2A3-CA8B-2348-BA0D-B9BA625F128D}">
  <dimension ref="C8:Z245"/>
  <sheetViews>
    <sheetView topLeftCell="A135" workbookViewId="0">
      <selection activeCell="C8" sqref="C8:F178"/>
    </sheetView>
  </sheetViews>
  <sheetFormatPr baseColWidth="10" defaultRowHeight="15"/>
  <sheetData>
    <row r="8" spans="3:6">
      <c r="C8" s="8"/>
      <c r="E8" s="17" t="s">
        <v>16</v>
      </c>
      <c r="F8" s="17" t="s">
        <v>17</v>
      </c>
    </row>
    <row r="9" spans="3:6">
      <c r="C9" s="31" t="s">
        <v>36</v>
      </c>
      <c r="E9" s="15"/>
      <c r="F9" s="22" t="s">
        <v>18</v>
      </c>
    </row>
    <row r="10" spans="3:6">
      <c r="C10" s="8">
        <v>1</v>
      </c>
      <c r="D10" t="s">
        <v>21</v>
      </c>
      <c r="E10" s="19">
        <v>45659</v>
      </c>
      <c r="F10" s="16">
        <v>4.2667999999999999</v>
      </c>
    </row>
    <row r="11" spans="3:6">
      <c r="C11" s="8">
        <v>2</v>
      </c>
      <c r="E11" s="19">
        <v>45660</v>
      </c>
      <c r="F11" s="16">
        <v>4.2717999999999998</v>
      </c>
    </row>
    <row r="12" spans="3:6">
      <c r="C12" s="8">
        <v>3</v>
      </c>
      <c r="E12" s="19">
        <v>45664</v>
      </c>
      <c r="F12" s="16">
        <v>4.2515000000000001</v>
      </c>
    </row>
    <row r="13" spans="3:6">
      <c r="C13" s="8">
        <v>4</v>
      </c>
      <c r="E13" s="19">
        <v>45665</v>
      </c>
      <c r="F13" s="16">
        <v>4.2656000000000001</v>
      </c>
    </row>
    <row r="14" spans="3:6">
      <c r="C14" s="8">
        <v>5</v>
      </c>
      <c r="E14" s="19">
        <v>45666</v>
      </c>
      <c r="F14" s="16">
        <v>4.2793999999999999</v>
      </c>
    </row>
    <row r="15" spans="3:6">
      <c r="C15" s="8">
        <v>6</v>
      </c>
      <c r="E15" s="19">
        <v>45667</v>
      </c>
      <c r="F15" s="16">
        <v>4.2656999999999998</v>
      </c>
    </row>
    <row r="16" spans="3:6">
      <c r="C16" s="8">
        <v>7</v>
      </c>
      <c r="E16" s="19">
        <v>45670</v>
      </c>
      <c r="F16" s="16">
        <v>4.2714999999999996</v>
      </c>
    </row>
    <row r="17" spans="3:6">
      <c r="C17" s="8">
        <v>8</v>
      </c>
      <c r="E17" s="19">
        <v>45671</v>
      </c>
      <c r="F17" s="16">
        <v>4.2736999999999998</v>
      </c>
    </row>
    <row r="18" spans="3:6">
      <c r="C18" s="8">
        <v>9</v>
      </c>
      <c r="E18" s="19">
        <v>45672</v>
      </c>
      <c r="F18" s="16">
        <v>4.2610999999999999</v>
      </c>
    </row>
    <row r="19" spans="3:6">
      <c r="C19" s="8">
        <v>10</v>
      </c>
      <c r="E19" s="19">
        <v>45673</v>
      </c>
      <c r="F19" s="16">
        <v>4.2619999999999996</v>
      </c>
    </row>
    <row r="20" spans="3:6">
      <c r="C20" s="8">
        <v>11</v>
      </c>
      <c r="E20" s="19">
        <v>45674</v>
      </c>
      <c r="F20" s="16">
        <v>4.2690999999999999</v>
      </c>
    </row>
    <row r="21" spans="3:6">
      <c r="C21" s="8">
        <v>12</v>
      </c>
      <c r="E21" s="19">
        <v>45677</v>
      </c>
      <c r="F21" s="16">
        <v>4.2587000000000002</v>
      </c>
    </row>
    <row r="22" spans="3:6">
      <c r="C22" s="8">
        <v>13</v>
      </c>
      <c r="E22" s="19">
        <v>45678</v>
      </c>
      <c r="F22" s="16">
        <v>4.2553999999999998</v>
      </c>
    </row>
    <row r="23" spans="3:6">
      <c r="C23" s="8">
        <v>14</v>
      </c>
      <c r="E23" s="19">
        <v>45679</v>
      </c>
      <c r="F23" s="16">
        <v>4.2461000000000002</v>
      </c>
    </row>
    <row r="24" spans="3:6">
      <c r="C24" s="8">
        <v>15</v>
      </c>
      <c r="E24" s="19">
        <v>45680</v>
      </c>
      <c r="F24" s="16">
        <v>4.2182000000000004</v>
      </c>
    </row>
    <row r="25" spans="3:6">
      <c r="C25" s="8">
        <v>16</v>
      </c>
      <c r="E25" s="19">
        <v>45681</v>
      </c>
      <c r="F25" s="16">
        <v>4.21</v>
      </c>
    </row>
    <row r="26" spans="3:6">
      <c r="C26" s="8">
        <v>17</v>
      </c>
      <c r="E26" s="19">
        <v>45684</v>
      </c>
      <c r="F26" s="16">
        <v>4.2176</v>
      </c>
    </row>
    <row r="27" spans="3:6">
      <c r="C27" s="8">
        <v>18</v>
      </c>
      <c r="E27" s="19">
        <v>45685</v>
      </c>
      <c r="F27" s="16">
        <v>4.2092000000000001</v>
      </c>
    </row>
    <row r="28" spans="3:6">
      <c r="C28" s="8">
        <v>19</v>
      </c>
      <c r="E28" s="19">
        <v>45686</v>
      </c>
      <c r="F28" s="16">
        <v>4.2077</v>
      </c>
    </row>
    <row r="29" spans="3:6">
      <c r="C29" s="8">
        <v>20</v>
      </c>
      <c r="E29" s="19">
        <v>45687</v>
      </c>
      <c r="F29" s="16">
        <v>4.2039</v>
      </c>
    </row>
    <row r="30" spans="3:6">
      <c r="C30" s="8">
        <v>21</v>
      </c>
      <c r="E30" s="19">
        <v>45688</v>
      </c>
      <c r="F30" s="16">
        <v>4.2130000000000001</v>
      </c>
    </row>
    <row r="31" spans="3:6">
      <c r="C31" s="8">
        <v>22</v>
      </c>
      <c r="D31" t="s">
        <v>22</v>
      </c>
      <c r="E31" s="19">
        <v>45691</v>
      </c>
      <c r="F31" s="16">
        <v>4.2305000000000001</v>
      </c>
    </row>
    <row r="32" spans="3:6">
      <c r="C32" s="8">
        <v>23</v>
      </c>
      <c r="E32" s="19">
        <v>45692</v>
      </c>
      <c r="F32" s="16">
        <v>4.2248999999999999</v>
      </c>
    </row>
    <row r="33" spans="3:26">
      <c r="C33" s="8">
        <v>24</v>
      </c>
      <c r="E33" s="19">
        <v>45693</v>
      </c>
      <c r="F33" s="16">
        <v>4.2058999999999997</v>
      </c>
    </row>
    <row r="34" spans="3:26">
      <c r="C34" s="8">
        <v>25</v>
      </c>
      <c r="E34" s="19">
        <v>45694</v>
      </c>
      <c r="F34" s="16">
        <v>4.2073</v>
      </c>
    </row>
    <row r="35" spans="3:26">
      <c r="C35" s="8">
        <v>26</v>
      </c>
      <c r="E35" s="19">
        <v>45695</v>
      </c>
      <c r="F35" s="16">
        <v>4.1898</v>
      </c>
    </row>
    <row r="36" spans="3:26">
      <c r="C36" s="8">
        <v>27</v>
      </c>
      <c r="E36" s="19">
        <v>45698</v>
      </c>
      <c r="F36" s="16">
        <v>4.1871999999999998</v>
      </c>
    </row>
    <row r="37" spans="3:26">
      <c r="C37" s="8">
        <v>28</v>
      </c>
      <c r="E37" s="19">
        <v>45699</v>
      </c>
      <c r="F37" s="16">
        <v>4.1783000000000001</v>
      </c>
    </row>
    <row r="38" spans="3:26">
      <c r="C38" s="8">
        <v>29</v>
      </c>
      <c r="E38" s="19">
        <v>45700</v>
      </c>
      <c r="F38" s="16">
        <v>4.1721000000000004</v>
      </c>
    </row>
    <row r="39" spans="3:26">
      <c r="C39" s="8">
        <v>30</v>
      </c>
      <c r="E39" s="19">
        <v>45701</v>
      </c>
      <c r="F39" s="16">
        <v>4.1651999999999996</v>
      </c>
    </row>
    <row r="40" spans="3:26">
      <c r="C40" s="8">
        <v>31</v>
      </c>
      <c r="E40" s="19">
        <v>45702</v>
      </c>
      <c r="F40" s="16">
        <v>4.1631999999999998</v>
      </c>
    </row>
    <row r="41" spans="3:26">
      <c r="C41" s="8">
        <v>32</v>
      </c>
      <c r="E41" s="19">
        <v>45705</v>
      </c>
      <c r="F41" s="16">
        <v>4.1635</v>
      </c>
    </row>
    <row r="42" spans="3:26">
      <c r="C42" s="8">
        <v>33</v>
      </c>
      <c r="E42" s="19">
        <v>45706</v>
      </c>
      <c r="F42" s="16">
        <v>4.1574</v>
      </c>
    </row>
    <row r="43" spans="3:26">
      <c r="C43" s="8">
        <v>34</v>
      </c>
      <c r="E43" s="19">
        <v>45707</v>
      </c>
      <c r="F43" s="16">
        <v>4.1581999999999999</v>
      </c>
    </row>
    <row r="44" spans="3:26">
      <c r="C44" s="8">
        <v>35</v>
      </c>
      <c r="E44" s="19">
        <v>45708</v>
      </c>
      <c r="F44" s="16">
        <v>4.1722999999999999</v>
      </c>
    </row>
    <row r="45" spans="3:26">
      <c r="C45" s="8">
        <v>36</v>
      </c>
      <c r="E45" s="19">
        <v>45709</v>
      </c>
      <c r="F45" s="16">
        <v>4.1704999999999997</v>
      </c>
    </row>
    <row r="46" spans="3:26">
      <c r="C46" s="8">
        <v>37</v>
      </c>
      <c r="E46" s="19">
        <v>45712</v>
      </c>
      <c r="F46" s="16">
        <v>4.1608999999999998</v>
      </c>
    </row>
    <row r="47" spans="3:26">
      <c r="C47" s="8">
        <v>38</v>
      </c>
      <c r="E47" s="19">
        <v>45713</v>
      </c>
      <c r="F47" s="16">
        <v>4.1338999999999997</v>
      </c>
      <c r="I47" s="5" t="s">
        <v>47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3:26">
      <c r="C48" s="8">
        <v>39</v>
      </c>
      <c r="E48" s="19">
        <v>45714</v>
      </c>
      <c r="F48" s="16">
        <v>4.1394000000000002</v>
      </c>
      <c r="I48" s="38" t="s">
        <v>48</v>
      </c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3:25">
      <c r="C49" s="8">
        <v>40</v>
      </c>
      <c r="E49" s="19">
        <v>45715</v>
      </c>
      <c r="F49" s="16">
        <v>4.1371000000000002</v>
      </c>
      <c r="I49" s="38" t="s">
        <v>49</v>
      </c>
      <c r="J49" s="39"/>
      <c r="K49" s="39"/>
      <c r="L49" s="39"/>
      <c r="M49" s="39"/>
      <c r="N49" s="39"/>
      <c r="O49" s="39"/>
      <c r="P49" s="39"/>
      <c r="Q49" s="39"/>
      <c r="R49" s="39"/>
    </row>
    <row r="50" spans="3:25">
      <c r="C50" s="8">
        <v>41</v>
      </c>
      <c r="E50" s="19">
        <v>45716</v>
      </c>
      <c r="F50" s="16">
        <v>4.1574999999999998</v>
      </c>
      <c r="I50" s="38" t="s">
        <v>50</v>
      </c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3:25">
      <c r="C51" s="8">
        <v>42</v>
      </c>
      <c r="D51" t="s">
        <v>23</v>
      </c>
      <c r="E51" s="19">
        <v>45719</v>
      </c>
      <c r="F51" s="16">
        <v>4.1826999999999996</v>
      </c>
      <c r="I51" s="38" t="s">
        <v>51</v>
      </c>
    </row>
    <row r="52" spans="3:25">
      <c r="C52" s="8">
        <v>43</v>
      </c>
      <c r="E52" s="19">
        <v>45720</v>
      </c>
      <c r="F52" s="16">
        <v>4.1567999999999996</v>
      </c>
    </row>
    <row r="53" spans="3:25">
      <c r="C53" s="8">
        <v>44</v>
      </c>
      <c r="E53" s="19">
        <v>45721</v>
      </c>
      <c r="F53" s="16">
        <v>4.1544999999999996</v>
      </c>
    </row>
    <row r="54" spans="3:25">
      <c r="C54" s="8">
        <v>45</v>
      </c>
      <c r="E54" s="19">
        <v>45722</v>
      </c>
      <c r="F54" s="16">
        <v>4.1765999999999996</v>
      </c>
    </row>
    <row r="55" spans="3:25">
      <c r="C55" s="8">
        <v>46</v>
      </c>
      <c r="E55" s="19">
        <v>45723</v>
      </c>
      <c r="F55" s="16">
        <v>4.1760000000000002</v>
      </c>
    </row>
    <row r="56" spans="3:25">
      <c r="C56" s="8">
        <v>47</v>
      </c>
      <c r="E56" s="19">
        <v>45726</v>
      </c>
      <c r="F56" s="16">
        <v>4.1856999999999998</v>
      </c>
    </row>
    <row r="57" spans="3:25">
      <c r="C57" s="8">
        <v>48</v>
      </c>
      <c r="E57" s="19">
        <v>45727</v>
      </c>
      <c r="F57" s="16">
        <v>4.1977000000000002</v>
      </c>
    </row>
    <row r="58" spans="3:25">
      <c r="C58" s="8">
        <v>49</v>
      </c>
      <c r="E58" s="19">
        <v>45728</v>
      </c>
      <c r="F58" s="16">
        <v>4.2016999999999998</v>
      </c>
    </row>
    <row r="59" spans="3:25">
      <c r="C59" s="8">
        <v>50</v>
      </c>
      <c r="E59" s="19">
        <v>45729</v>
      </c>
      <c r="F59" s="16">
        <v>4.1959999999999997</v>
      </c>
    </row>
    <row r="60" spans="3:25">
      <c r="C60" s="8">
        <v>51</v>
      </c>
      <c r="E60" s="19">
        <v>45730</v>
      </c>
      <c r="F60" s="16">
        <v>4.1790000000000003</v>
      </c>
    </row>
    <row r="61" spans="3:25">
      <c r="C61" s="8">
        <v>52</v>
      </c>
      <c r="E61" s="19">
        <v>45733</v>
      </c>
      <c r="F61" s="16">
        <v>4.1776999999999997</v>
      </c>
    </row>
    <row r="62" spans="3:25">
      <c r="C62" s="8">
        <v>53</v>
      </c>
      <c r="E62" s="19">
        <v>45734</v>
      </c>
      <c r="F62" s="16">
        <v>4.1776</v>
      </c>
    </row>
    <row r="63" spans="3:25">
      <c r="C63" s="8">
        <v>54</v>
      </c>
      <c r="E63" s="19">
        <v>45735</v>
      </c>
      <c r="F63" s="16">
        <v>4.1944999999999997</v>
      </c>
    </row>
    <row r="64" spans="3:25">
      <c r="C64" s="8">
        <v>55</v>
      </c>
      <c r="E64" s="19">
        <v>45736</v>
      </c>
      <c r="F64" s="16">
        <v>4.1971999999999996</v>
      </c>
    </row>
    <row r="65" spans="3:6">
      <c r="C65" s="8">
        <v>56</v>
      </c>
      <c r="E65" s="19">
        <v>45737</v>
      </c>
      <c r="F65" s="16">
        <v>4.1978999999999997</v>
      </c>
    </row>
    <row r="66" spans="3:6">
      <c r="C66" s="8">
        <v>57</v>
      </c>
      <c r="E66" s="19">
        <v>45740</v>
      </c>
      <c r="F66" s="16">
        <v>4.1832000000000003</v>
      </c>
    </row>
    <row r="67" spans="3:6">
      <c r="C67" s="8">
        <v>58</v>
      </c>
      <c r="E67" s="19">
        <v>45741</v>
      </c>
      <c r="F67" s="16">
        <v>4.1664000000000003</v>
      </c>
    </row>
    <row r="68" spans="3:6">
      <c r="C68" s="8">
        <v>59</v>
      </c>
      <c r="E68" s="19">
        <v>45742</v>
      </c>
      <c r="F68" s="16">
        <v>4.1685999999999996</v>
      </c>
    </row>
    <row r="69" spans="3:6">
      <c r="C69" s="8">
        <v>60</v>
      </c>
      <c r="E69" s="19">
        <v>45743</v>
      </c>
      <c r="F69" s="16">
        <v>4.1913</v>
      </c>
    </row>
    <row r="70" spans="3:6">
      <c r="C70" s="8">
        <v>61</v>
      </c>
      <c r="E70" s="19">
        <v>45744</v>
      </c>
      <c r="F70" s="16">
        <v>4.1818999999999997</v>
      </c>
    </row>
    <row r="71" spans="3:6">
      <c r="C71" s="8">
        <v>62</v>
      </c>
      <c r="E71" s="19">
        <v>45747</v>
      </c>
      <c r="F71" s="16">
        <v>4.1839000000000004</v>
      </c>
    </row>
    <row r="72" spans="3:6">
      <c r="C72" s="8">
        <v>63</v>
      </c>
      <c r="D72" t="s">
        <v>24</v>
      </c>
      <c r="E72" s="19">
        <v>45748</v>
      </c>
      <c r="F72" s="16">
        <v>4.1818</v>
      </c>
    </row>
    <row r="73" spans="3:6">
      <c r="C73" s="8">
        <v>64</v>
      </c>
      <c r="E73" s="19">
        <v>45749</v>
      </c>
      <c r="F73" s="16">
        <v>4.1794000000000002</v>
      </c>
    </row>
    <row r="74" spans="3:6">
      <c r="C74" s="8">
        <v>65</v>
      </c>
      <c r="E74" s="19">
        <v>45750</v>
      </c>
      <c r="F74" s="16">
        <v>4.1791</v>
      </c>
    </row>
    <row r="75" spans="3:6">
      <c r="C75" s="8">
        <v>66</v>
      </c>
      <c r="E75" s="19">
        <v>45751</v>
      </c>
      <c r="F75" s="16">
        <v>4.2403000000000004</v>
      </c>
    </row>
    <row r="76" spans="3:6">
      <c r="C76" s="8">
        <v>67</v>
      </c>
      <c r="E76" s="19">
        <v>45754</v>
      </c>
      <c r="F76" s="16">
        <v>4.2975000000000003</v>
      </c>
    </row>
    <row r="77" spans="3:6">
      <c r="C77" s="8">
        <v>68</v>
      </c>
      <c r="E77" s="19">
        <v>45755</v>
      </c>
      <c r="F77" s="16">
        <v>4.2946</v>
      </c>
    </row>
    <row r="78" spans="3:6">
      <c r="C78" s="8">
        <v>69</v>
      </c>
      <c r="E78" s="19">
        <v>45756</v>
      </c>
      <c r="F78" s="16">
        <v>4.2817999999999996</v>
      </c>
    </row>
    <row r="79" spans="3:6">
      <c r="C79" s="8">
        <v>70</v>
      </c>
      <c r="E79" s="19">
        <v>45757</v>
      </c>
      <c r="F79" s="16">
        <v>4.2644000000000002</v>
      </c>
    </row>
    <row r="80" spans="3:6">
      <c r="C80" s="8">
        <v>71</v>
      </c>
      <c r="E80" s="19">
        <v>45758</v>
      </c>
      <c r="F80" s="16">
        <v>4.2972000000000001</v>
      </c>
    </row>
    <row r="81" spans="3:6">
      <c r="C81" s="8">
        <v>72</v>
      </c>
      <c r="E81" s="19">
        <v>45761</v>
      </c>
      <c r="F81" s="16">
        <v>4.2775999999999996</v>
      </c>
    </row>
    <row r="82" spans="3:6">
      <c r="C82" s="8">
        <v>73</v>
      </c>
      <c r="E82" s="19">
        <v>45762</v>
      </c>
      <c r="F82" s="16">
        <v>4.2766999999999999</v>
      </c>
    </row>
    <row r="83" spans="3:6">
      <c r="C83" s="8">
        <v>74</v>
      </c>
      <c r="E83" s="19">
        <v>45763</v>
      </c>
      <c r="F83" s="16">
        <v>4.3033000000000001</v>
      </c>
    </row>
    <row r="84" spans="3:6">
      <c r="C84" s="8">
        <v>75</v>
      </c>
      <c r="E84" s="19">
        <v>45764</v>
      </c>
      <c r="F84" s="16">
        <v>4.2878999999999996</v>
      </c>
    </row>
    <row r="85" spans="3:6">
      <c r="C85" s="8">
        <v>76</v>
      </c>
      <c r="E85" s="19">
        <v>45765</v>
      </c>
      <c r="F85" s="16">
        <v>4.2823000000000002</v>
      </c>
    </row>
    <row r="86" spans="3:6">
      <c r="C86" s="8">
        <v>77</v>
      </c>
      <c r="E86" s="19">
        <v>45769</v>
      </c>
      <c r="F86" s="16">
        <v>4.2801</v>
      </c>
    </row>
    <row r="87" spans="3:6">
      <c r="C87" s="8">
        <v>78</v>
      </c>
      <c r="E87" s="19">
        <v>45770</v>
      </c>
      <c r="F87" s="16">
        <v>4.2892999999999999</v>
      </c>
    </row>
    <row r="88" spans="3:6">
      <c r="C88" s="8">
        <v>79</v>
      </c>
      <c r="E88" s="19">
        <v>45771</v>
      </c>
      <c r="F88" s="16">
        <v>4.2789000000000001</v>
      </c>
    </row>
    <row r="89" spans="3:6">
      <c r="C89" s="8">
        <v>80</v>
      </c>
      <c r="E89" s="19">
        <v>45772</v>
      </c>
      <c r="F89" s="16">
        <v>4.2687999999999997</v>
      </c>
    </row>
    <row r="90" spans="3:6">
      <c r="C90" s="8">
        <v>81</v>
      </c>
      <c r="E90" s="19">
        <v>45775</v>
      </c>
      <c r="F90" s="16">
        <v>4.2766000000000002</v>
      </c>
    </row>
    <row r="91" spans="3:6">
      <c r="C91" s="8">
        <v>82</v>
      </c>
      <c r="E91" s="19">
        <v>45776</v>
      </c>
      <c r="F91" s="16">
        <v>4.2645999999999997</v>
      </c>
    </row>
    <row r="92" spans="3:6">
      <c r="C92" s="8">
        <v>83</v>
      </c>
      <c r="E92" s="19">
        <v>45777</v>
      </c>
      <c r="F92" s="16">
        <v>4.2778</v>
      </c>
    </row>
    <row r="93" spans="3:6">
      <c r="C93" s="8">
        <v>84</v>
      </c>
      <c r="D93" t="s">
        <v>25</v>
      </c>
      <c r="E93" s="19">
        <v>45779</v>
      </c>
      <c r="F93" s="16">
        <v>4.2750000000000004</v>
      </c>
    </row>
    <row r="94" spans="3:6">
      <c r="C94" s="8">
        <v>85</v>
      </c>
      <c r="E94" s="19">
        <v>45782</v>
      </c>
      <c r="F94" s="16">
        <v>4.2759999999999998</v>
      </c>
    </row>
    <row r="95" spans="3:6">
      <c r="C95" s="8">
        <v>86</v>
      </c>
      <c r="E95" s="19">
        <v>45783</v>
      </c>
      <c r="F95" s="16">
        <v>4.2805999999999997</v>
      </c>
    </row>
    <row r="96" spans="3:6">
      <c r="C96" s="8">
        <v>87</v>
      </c>
      <c r="E96" s="19">
        <v>45784</v>
      </c>
      <c r="F96" s="16">
        <v>4.2756999999999996</v>
      </c>
    </row>
    <row r="97" spans="3:6">
      <c r="C97" s="8">
        <v>88</v>
      </c>
      <c r="E97" s="19">
        <v>45785</v>
      </c>
      <c r="F97" s="16">
        <v>4.2713999999999999</v>
      </c>
    </row>
    <row r="98" spans="3:6">
      <c r="C98" s="8">
        <v>89</v>
      </c>
      <c r="E98" s="19">
        <v>45786</v>
      </c>
      <c r="F98" s="16">
        <v>4.2413999999999996</v>
      </c>
    </row>
    <row r="99" spans="3:6">
      <c r="C99" s="8">
        <v>90</v>
      </c>
      <c r="E99" s="19">
        <v>45789</v>
      </c>
      <c r="F99" s="16">
        <v>4.2336999999999998</v>
      </c>
    </row>
    <row r="100" spans="3:6">
      <c r="C100" s="8">
        <v>91</v>
      </c>
      <c r="E100" s="19">
        <v>45790</v>
      </c>
      <c r="F100" s="16">
        <v>4.2525000000000004</v>
      </c>
    </row>
    <row r="101" spans="3:6">
      <c r="C101" s="8">
        <v>92</v>
      </c>
      <c r="E101" s="19">
        <v>45791</v>
      </c>
      <c r="F101" s="16">
        <v>4.2454999999999998</v>
      </c>
    </row>
    <row r="102" spans="3:6">
      <c r="C102" s="8">
        <v>93</v>
      </c>
      <c r="E102" s="19">
        <v>45792</v>
      </c>
      <c r="F102" s="16">
        <v>4.2378</v>
      </c>
    </row>
    <row r="103" spans="3:6">
      <c r="C103" s="8">
        <v>94</v>
      </c>
      <c r="E103" s="19">
        <v>45793</v>
      </c>
      <c r="F103" s="16">
        <v>4.2392000000000003</v>
      </c>
    </row>
    <row r="104" spans="3:6">
      <c r="C104" s="8">
        <v>95</v>
      </c>
      <c r="E104" s="19">
        <v>45796</v>
      </c>
      <c r="F104" s="16">
        <v>4.2785000000000002</v>
      </c>
    </row>
    <row r="105" spans="3:6">
      <c r="C105" s="8">
        <v>96</v>
      </c>
      <c r="E105" s="19">
        <v>45797</v>
      </c>
      <c r="F105" s="16">
        <v>4.2496999999999998</v>
      </c>
    </row>
    <row r="106" spans="3:6">
      <c r="C106" s="8">
        <v>97</v>
      </c>
      <c r="E106" s="19">
        <v>45798</v>
      </c>
      <c r="F106" s="16">
        <v>4.2403000000000004</v>
      </c>
    </row>
    <row r="107" spans="3:6">
      <c r="C107" s="8">
        <v>98</v>
      </c>
      <c r="E107" s="19">
        <v>45799</v>
      </c>
      <c r="F107" s="16">
        <v>4.2446999999999999</v>
      </c>
    </row>
    <row r="108" spans="3:6">
      <c r="C108" s="8">
        <v>99</v>
      </c>
      <c r="E108" s="19">
        <v>45800</v>
      </c>
      <c r="F108" s="16">
        <v>4.2541000000000002</v>
      </c>
    </row>
    <row r="109" spans="3:6">
      <c r="C109" s="8">
        <v>100</v>
      </c>
      <c r="E109" s="19">
        <v>45803</v>
      </c>
      <c r="F109" s="16">
        <v>4.2514000000000003</v>
      </c>
    </row>
    <row r="110" spans="3:6">
      <c r="C110" s="8">
        <v>101</v>
      </c>
      <c r="E110" s="19">
        <v>45804</v>
      </c>
      <c r="F110" s="16">
        <v>4.2478999999999996</v>
      </c>
    </row>
    <row r="111" spans="3:6">
      <c r="C111" s="8">
        <v>102</v>
      </c>
      <c r="E111" s="19">
        <v>45805</v>
      </c>
      <c r="F111" s="16">
        <v>4.2446999999999999</v>
      </c>
    </row>
    <row r="112" spans="3:6">
      <c r="C112" s="8">
        <v>103</v>
      </c>
      <c r="E112" s="19">
        <v>45806</v>
      </c>
      <c r="F112" s="16">
        <v>4.2369000000000003</v>
      </c>
    </row>
    <row r="113" spans="3:6">
      <c r="C113" s="8">
        <v>104</v>
      </c>
      <c r="E113" s="19">
        <v>45807</v>
      </c>
      <c r="F113" s="16">
        <v>4.2507000000000001</v>
      </c>
    </row>
    <row r="114" spans="3:6">
      <c r="C114" s="8">
        <v>105</v>
      </c>
      <c r="D114" t="s">
        <v>26</v>
      </c>
      <c r="E114" s="19">
        <v>45810</v>
      </c>
      <c r="F114" s="16">
        <v>4.2577999999999996</v>
      </c>
    </row>
    <row r="115" spans="3:6">
      <c r="C115" s="8">
        <v>106</v>
      </c>
      <c r="E115" s="19">
        <v>45811</v>
      </c>
      <c r="F115" s="16">
        <v>4.2721</v>
      </c>
    </row>
    <row r="116" spans="3:6">
      <c r="C116" s="8">
        <v>107</v>
      </c>
      <c r="E116" s="19">
        <v>45812</v>
      </c>
      <c r="F116" s="16">
        <v>4.2778</v>
      </c>
    </row>
    <row r="117" spans="3:6">
      <c r="C117" s="8">
        <v>108</v>
      </c>
      <c r="E117" s="19">
        <v>45813</v>
      </c>
      <c r="F117" s="16">
        <v>4.2790999999999997</v>
      </c>
    </row>
    <row r="118" spans="3:6">
      <c r="C118" s="8">
        <v>109</v>
      </c>
      <c r="E118" s="19">
        <v>45814</v>
      </c>
      <c r="F118" s="16">
        <v>4.2881</v>
      </c>
    </row>
    <row r="119" spans="3:6">
      <c r="C119" s="8">
        <v>110</v>
      </c>
      <c r="E119" s="19">
        <v>45817</v>
      </c>
      <c r="F119" s="16">
        <v>4.2771999999999997</v>
      </c>
    </row>
    <row r="120" spans="3:6">
      <c r="C120" s="8">
        <v>111</v>
      </c>
      <c r="E120" s="19">
        <v>45818</v>
      </c>
      <c r="F120" s="16">
        <v>4.2610999999999999</v>
      </c>
    </row>
    <row r="121" spans="3:6">
      <c r="C121" s="8">
        <v>112</v>
      </c>
      <c r="E121" s="19">
        <v>45819</v>
      </c>
      <c r="F121" s="16">
        <v>4.2643000000000004</v>
      </c>
    </row>
    <row r="122" spans="3:6">
      <c r="C122" s="8">
        <v>113</v>
      </c>
      <c r="E122" s="19">
        <v>45820</v>
      </c>
      <c r="F122" s="16">
        <v>4.2630999999999997</v>
      </c>
    </row>
    <row r="123" spans="3:6">
      <c r="C123" s="8">
        <v>114</v>
      </c>
      <c r="E123" s="19">
        <v>45821</v>
      </c>
      <c r="F123" s="16">
        <v>4.2720000000000002</v>
      </c>
    </row>
    <row r="124" spans="3:6">
      <c r="C124" s="8">
        <v>115</v>
      </c>
      <c r="E124" s="19">
        <v>45824</v>
      </c>
      <c r="F124" s="16">
        <v>4.2611999999999997</v>
      </c>
    </row>
    <row r="125" spans="3:6">
      <c r="C125" s="8">
        <v>116</v>
      </c>
      <c r="E125" s="19">
        <v>45825</v>
      </c>
      <c r="F125" s="16">
        <v>4.2750000000000004</v>
      </c>
    </row>
    <row r="126" spans="3:6">
      <c r="C126" s="8">
        <v>117</v>
      </c>
      <c r="E126" s="19">
        <v>45826</v>
      </c>
      <c r="F126" s="16">
        <v>4.2717000000000001</v>
      </c>
    </row>
    <row r="127" spans="3:6">
      <c r="C127" s="8">
        <v>118</v>
      </c>
      <c r="E127" s="19">
        <v>45828</v>
      </c>
      <c r="F127" s="16">
        <v>4.2709000000000001</v>
      </c>
    </row>
    <row r="128" spans="3:6">
      <c r="C128" s="8">
        <v>119</v>
      </c>
      <c r="E128" s="19">
        <v>45831</v>
      </c>
      <c r="F128" s="16">
        <v>4.2727000000000004</v>
      </c>
    </row>
    <row r="129" spans="3:6">
      <c r="C129" s="8">
        <v>120</v>
      </c>
      <c r="E129" s="19">
        <v>45832</v>
      </c>
      <c r="F129" s="16">
        <v>4.2603999999999997</v>
      </c>
    </row>
    <row r="130" spans="3:6">
      <c r="C130" s="8">
        <v>121</v>
      </c>
      <c r="E130" s="19">
        <v>45833</v>
      </c>
      <c r="F130" s="16">
        <v>4.2478999999999996</v>
      </c>
    </row>
    <row r="131" spans="3:6">
      <c r="C131" s="8">
        <v>122</v>
      </c>
      <c r="E131" s="19">
        <v>45834</v>
      </c>
      <c r="F131" s="16">
        <v>4.2478999999999996</v>
      </c>
    </row>
    <row r="132" spans="3:6">
      <c r="C132" s="8">
        <v>123</v>
      </c>
      <c r="E132" s="19">
        <v>45835</v>
      </c>
      <c r="F132" s="16">
        <v>4.2362000000000002</v>
      </c>
    </row>
    <row r="133" spans="3:6">
      <c r="C133" s="8">
        <v>124</v>
      </c>
      <c r="E133" s="19">
        <v>45838</v>
      </c>
      <c r="F133" s="16">
        <v>4.2419000000000002</v>
      </c>
    </row>
    <row r="134" spans="3:6">
      <c r="C134" s="8">
        <v>125</v>
      </c>
      <c r="D134" t="s">
        <v>27</v>
      </c>
      <c r="E134" s="19">
        <v>45839</v>
      </c>
      <c r="F134" s="16">
        <v>4.2415000000000003</v>
      </c>
    </row>
    <row r="135" spans="3:6">
      <c r="C135" s="8">
        <v>126</v>
      </c>
      <c r="E135" s="19">
        <v>45840</v>
      </c>
      <c r="F135" s="16">
        <v>4.25</v>
      </c>
    </row>
    <row r="136" spans="3:6">
      <c r="C136" s="8">
        <v>127</v>
      </c>
      <c r="E136" s="19">
        <v>45841</v>
      </c>
      <c r="F136" s="16">
        <v>4.2633999999999999</v>
      </c>
    </row>
    <row r="137" spans="3:6">
      <c r="C137" s="8">
        <v>128</v>
      </c>
      <c r="E137" s="19">
        <v>45842</v>
      </c>
      <c r="F137" s="16">
        <v>4.2515000000000001</v>
      </c>
    </row>
    <row r="138" spans="3:6">
      <c r="C138" s="8">
        <v>129</v>
      </c>
      <c r="E138" s="19">
        <v>45845</v>
      </c>
      <c r="F138" s="16">
        <v>4.2523999999999997</v>
      </c>
    </row>
    <row r="139" spans="3:6">
      <c r="C139" s="8">
        <v>130</v>
      </c>
      <c r="E139" s="19">
        <v>45846</v>
      </c>
      <c r="F139" s="16">
        <v>4.2454999999999998</v>
      </c>
    </row>
    <row r="140" spans="3:6">
      <c r="C140" s="8">
        <v>131</v>
      </c>
      <c r="E140" s="19">
        <v>45847</v>
      </c>
      <c r="F140" s="16">
        <v>4.2398999999999996</v>
      </c>
    </row>
    <row r="141" spans="3:6">
      <c r="C141" s="8">
        <v>132</v>
      </c>
      <c r="E141" s="19">
        <v>45848</v>
      </c>
      <c r="F141" s="16">
        <v>4.2464000000000004</v>
      </c>
    </row>
    <row r="142" spans="3:6">
      <c r="C142" s="8">
        <v>133</v>
      </c>
      <c r="E142" s="19">
        <v>45849</v>
      </c>
      <c r="F142" s="16">
        <v>4.2563000000000004</v>
      </c>
    </row>
    <row r="143" spans="3:6">
      <c r="C143" s="8">
        <v>134</v>
      </c>
      <c r="E143" s="19">
        <v>45852</v>
      </c>
      <c r="F143" s="16">
        <v>4.2614000000000001</v>
      </c>
    </row>
    <row r="144" spans="3:6">
      <c r="C144" s="8">
        <v>135</v>
      </c>
      <c r="E144" s="19">
        <v>45853</v>
      </c>
      <c r="F144" s="16">
        <v>4.2538</v>
      </c>
    </row>
    <row r="145" spans="3:6">
      <c r="C145" s="8">
        <v>136</v>
      </c>
      <c r="E145" s="19">
        <v>45854</v>
      </c>
      <c r="F145" s="16">
        <v>4.2584999999999997</v>
      </c>
    </row>
    <row r="146" spans="3:6">
      <c r="C146" s="8">
        <v>137</v>
      </c>
      <c r="E146" s="19">
        <v>45855</v>
      </c>
      <c r="F146" s="16">
        <v>4.2558999999999996</v>
      </c>
    </row>
    <row r="147" spans="3:6">
      <c r="C147" s="8">
        <v>138</v>
      </c>
      <c r="E147" s="19">
        <v>45856</v>
      </c>
      <c r="F147" s="16">
        <v>4.2508999999999997</v>
      </c>
    </row>
    <row r="148" spans="3:6">
      <c r="C148" s="8">
        <v>139</v>
      </c>
      <c r="E148" s="19">
        <v>45859</v>
      </c>
      <c r="F148" s="16">
        <v>4.2445000000000004</v>
      </c>
    </row>
    <row r="149" spans="3:6">
      <c r="C149" s="8">
        <v>140</v>
      </c>
      <c r="E149" s="19">
        <v>45860</v>
      </c>
      <c r="F149" s="16">
        <v>4.2530999999999999</v>
      </c>
    </row>
    <row r="150" spans="3:6">
      <c r="C150" s="8">
        <v>141</v>
      </c>
      <c r="E150" s="19">
        <v>45861</v>
      </c>
      <c r="F150" s="16">
        <v>4.2544000000000004</v>
      </c>
    </row>
    <row r="151" spans="3:6">
      <c r="C151" s="8">
        <v>142</v>
      </c>
      <c r="E151" s="19">
        <v>45862</v>
      </c>
      <c r="F151" s="16">
        <v>4.2514000000000003</v>
      </c>
    </row>
    <row r="152" spans="3:6">
      <c r="C152" s="8">
        <v>143</v>
      </c>
      <c r="E152" s="19">
        <v>45863</v>
      </c>
      <c r="F152" s="16">
        <v>4.2544000000000004</v>
      </c>
    </row>
    <row r="153" spans="3:6">
      <c r="C153" s="8">
        <v>144</v>
      </c>
      <c r="E153" s="19">
        <v>45866</v>
      </c>
      <c r="F153" s="16">
        <v>4.2565</v>
      </c>
    </row>
    <row r="154" spans="3:6">
      <c r="C154" s="8">
        <v>145</v>
      </c>
      <c r="E154" s="19">
        <v>45867</v>
      </c>
      <c r="F154" s="16">
        <v>4.2736999999999998</v>
      </c>
    </row>
    <row r="155" spans="3:6">
      <c r="C155" s="8">
        <v>146</v>
      </c>
      <c r="E155" s="19">
        <v>45868</v>
      </c>
      <c r="F155" s="16">
        <v>4.2732000000000001</v>
      </c>
    </row>
    <row r="156" spans="3:6">
      <c r="C156" s="8">
        <v>147</v>
      </c>
      <c r="E156" s="19">
        <v>45869</v>
      </c>
      <c r="F156" s="16">
        <v>4.2660999999999998</v>
      </c>
    </row>
    <row r="157" spans="3:6">
      <c r="C157" s="8">
        <v>148</v>
      </c>
      <c r="D157" t="s">
        <v>28</v>
      </c>
      <c r="E157" s="19">
        <v>45870</v>
      </c>
      <c r="F157" s="16">
        <v>4.2812999999999999</v>
      </c>
    </row>
    <row r="158" spans="3:6">
      <c r="C158" s="8">
        <v>149</v>
      </c>
      <c r="E158" s="19">
        <v>45873</v>
      </c>
      <c r="F158" s="16">
        <v>4.2733999999999996</v>
      </c>
    </row>
    <row r="159" spans="3:6">
      <c r="C159" s="8">
        <v>150</v>
      </c>
      <c r="E159" s="19">
        <v>45874</v>
      </c>
      <c r="F159" s="16">
        <v>4.2763</v>
      </c>
    </row>
    <row r="160" spans="3:6">
      <c r="C160" s="8">
        <v>151</v>
      </c>
      <c r="E160" s="19">
        <v>45875</v>
      </c>
      <c r="F160" s="16">
        <v>4.282</v>
      </c>
    </row>
    <row r="161" spans="3:6">
      <c r="C161" s="8">
        <v>152</v>
      </c>
      <c r="E161" s="19">
        <v>45876</v>
      </c>
      <c r="F161" s="16">
        <v>4.2618</v>
      </c>
    </row>
    <row r="162" spans="3:6">
      <c r="C162" s="8">
        <v>153</v>
      </c>
      <c r="E162" s="19">
        <v>45877</v>
      </c>
      <c r="F162" s="16">
        <v>4.2565999999999997</v>
      </c>
    </row>
    <row r="163" spans="3:6">
      <c r="C163" s="8">
        <v>154</v>
      </c>
      <c r="E163" s="19">
        <v>45880</v>
      </c>
      <c r="F163" s="16">
        <v>4.2533000000000003</v>
      </c>
    </row>
    <row r="164" spans="3:6">
      <c r="C164" s="8">
        <v>155</v>
      </c>
      <c r="E164" s="19">
        <v>45881</v>
      </c>
      <c r="F164" s="16">
        <v>4.2625999999999999</v>
      </c>
    </row>
    <row r="165" spans="3:6">
      <c r="C165" s="8">
        <v>156</v>
      </c>
      <c r="E165" s="19">
        <v>45882</v>
      </c>
      <c r="F165" s="16">
        <v>4.2586000000000004</v>
      </c>
    </row>
    <row r="166" spans="3:6">
      <c r="C166" s="8">
        <v>157</v>
      </c>
      <c r="E166" s="19">
        <v>45883</v>
      </c>
      <c r="F166" s="16">
        <v>4.2638999999999996</v>
      </c>
    </row>
    <row r="167" spans="3:6">
      <c r="C167" s="8">
        <v>158</v>
      </c>
      <c r="E167" s="19">
        <v>45887</v>
      </c>
      <c r="F167" s="16">
        <v>4.2557999999999998</v>
      </c>
    </row>
    <row r="168" spans="3:6">
      <c r="C168" s="8">
        <v>159</v>
      </c>
      <c r="E168" s="19">
        <v>45888</v>
      </c>
      <c r="F168" s="16">
        <v>4.242</v>
      </c>
    </row>
    <row r="169" spans="3:6">
      <c r="C169" s="8">
        <v>160</v>
      </c>
      <c r="E169" s="19">
        <v>45889</v>
      </c>
      <c r="F169" s="16">
        <v>4.2523999999999997</v>
      </c>
    </row>
    <row r="170" spans="3:6">
      <c r="C170" s="8">
        <v>161</v>
      </c>
      <c r="E170" s="19">
        <v>45890</v>
      </c>
      <c r="F170" s="16">
        <v>4.2521000000000004</v>
      </c>
    </row>
    <row r="171" spans="3:6">
      <c r="C171" s="8">
        <v>162</v>
      </c>
      <c r="E171" s="19">
        <v>45891</v>
      </c>
      <c r="F171" s="16">
        <v>4.2670000000000003</v>
      </c>
    </row>
    <row r="172" spans="3:6">
      <c r="C172" s="8">
        <v>163</v>
      </c>
      <c r="E172" s="19">
        <v>45894</v>
      </c>
      <c r="F172" s="16">
        <v>4.2626999999999997</v>
      </c>
    </row>
    <row r="173" spans="3:6">
      <c r="C173" s="8">
        <v>164</v>
      </c>
      <c r="E173" s="19">
        <v>45895</v>
      </c>
      <c r="F173" s="16">
        <v>4.2656999999999998</v>
      </c>
    </row>
    <row r="174" spans="3:6">
      <c r="C174" s="8">
        <v>165</v>
      </c>
      <c r="E174" s="19">
        <v>45896</v>
      </c>
      <c r="F174" s="16">
        <v>4.2638999999999996</v>
      </c>
    </row>
    <row r="175" spans="3:6">
      <c r="C175" s="8">
        <v>166</v>
      </c>
      <c r="E175" s="19">
        <v>45897</v>
      </c>
      <c r="F175" s="16">
        <v>4.2680999999999996</v>
      </c>
    </row>
    <row r="176" spans="3:6">
      <c r="C176" s="8">
        <v>167</v>
      </c>
      <c r="E176" s="19">
        <v>45898</v>
      </c>
      <c r="F176" s="16">
        <v>4.2683999999999997</v>
      </c>
    </row>
    <row r="177" spans="3:6">
      <c r="C177" s="8">
        <v>168</v>
      </c>
      <c r="D177" t="s">
        <v>29</v>
      </c>
      <c r="E177" s="19">
        <v>45901</v>
      </c>
      <c r="F177" s="16">
        <v>4.2573999999999996</v>
      </c>
    </row>
    <row r="178" spans="3:6">
      <c r="C178" s="8">
        <v>169</v>
      </c>
      <c r="E178" s="19">
        <v>45902</v>
      </c>
      <c r="F178" s="16">
        <v>4.2651000000000003</v>
      </c>
    </row>
    <row r="179" spans="3:6">
      <c r="C179" s="8">
        <v>170</v>
      </c>
      <c r="E179" s="19">
        <v>45903</v>
      </c>
      <c r="F179" s="16">
        <v>4.2588999999999997</v>
      </c>
    </row>
    <row r="180" spans="3:6">
      <c r="C180" s="8">
        <v>171</v>
      </c>
      <c r="E180" s="19">
        <v>45904</v>
      </c>
      <c r="F180" s="16">
        <v>4.2553000000000001</v>
      </c>
    </row>
    <row r="181" spans="3:6">
      <c r="C181" s="8">
        <v>172</v>
      </c>
      <c r="E181" s="19">
        <v>45905</v>
      </c>
      <c r="F181" s="16">
        <v>4.2476000000000003</v>
      </c>
    </row>
    <row r="182" spans="3:6">
      <c r="C182" s="8">
        <v>173</v>
      </c>
      <c r="E182" s="19">
        <v>45908</v>
      </c>
      <c r="F182" s="16">
        <v>4.2484000000000002</v>
      </c>
    </row>
    <row r="183" spans="3:6">
      <c r="C183" s="8">
        <v>174</v>
      </c>
      <c r="E183" s="19">
        <v>45909</v>
      </c>
      <c r="F183" s="16">
        <v>4.2539999999999996</v>
      </c>
    </row>
    <row r="184" spans="3:6">
      <c r="C184" s="8">
        <v>175</v>
      </c>
      <c r="E184" s="19">
        <v>45910</v>
      </c>
      <c r="F184" s="16">
        <v>4.2603999999999997</v>
      </c>
    </row>
    <row r="185" spans="3:6">
      <c r="C185" s="8">
        <v>176</v>
      </c>
      <c r="E185" s="19">
        <v>45911</v>
      </c>
      <c r="F185" s="16">
        <v>4.2625999999999999</v>
      </c>
    </row>
    <row r="186" spans="3:6">
      <c r="C186" s="8">
        <v>177</v>
      </c>
      <c r="E186" s="19">
        <v>45912</v>
      </c>
      <c r="F186" s="16">
        <v>4.2592999999999996</v>
      </c>
    </row>
    <row r="187" spans="3:6">
      <c r="C187" s="8">
        <v>178</v>
      </c>
      <c r="E187" s="19">
        <v>45915</v>
      </c>
      <c r="F187" s="16">
        <v>4.2476000000000003</v>
      </c>
    </row>
    <row r="188" spans="3:6">
      <c r="C188" s="8">
        <v>179</v>
      </c>
      <c r="E188" s="19">
        <v>45916</v>
      </c>
      <c r="F188" s="16">
        <v>4.2504</v>
      </c>
    </row>
    <row r="189" spans="3:6">
      <c r="C189" s="8">
        <v>180</v>
      </c>
      <c r="E189" s="19">
        <v>45917</v>
      </c>
      <c r="F189" s="16">
        <v>4.2558999999999996</v>
      </c>
    </row>
    <row r="190" spans="3:6">
      <c r="C190" s="8">
        <v>181</v>
      </c>
      <c r="E190" s="19">
        <v>45918</v>
      </c>
      <c r="F190" s="16">
        <v>4.2564000000000002</v>
      </c>
    </row>
    <row r="191" spans="3:6">
      <c r="C191" s="8">
        <v>182</v>
      </c>
      <c r="E191" s="19">
        <v>45919</v>
      </c>
      <c r="F191" s="16">
        <v>4.2666000000000004</v>
      </c>
    </row>
    <row r="192" spans="3:6">
      <c r="C192" s="8">
        <v>183</v>
      </c>
      <c r="E192" s="19">
        <v>45922</v>
      </c>
      <c r="F192" s="16">
        <v>4.2645</v>
      </c>
    </row>
    <row r="193" spans="3:6">
      <c r="C193" s="8">
        <v>184</v>
      </c>
      <c r="E193" s="19">
        <v>45923</v>
      </c>
      <c r="F193" s="16">
        <v>4.2552000000000003</v>
      </c>
    </row>
    <row r="194" spans="3:6">
      <c r="C194" s="8">
        <v>185</v>
      </c>
      <c r="E194" s="19">
        <v>45924</v>
      </c>
      <c r="F194" s="16">
        <v>4.2675999999999998</v>
      </c>
    </row>
    <row r="195" spans="3:6">
      <c r="C195" s="8">
        <v>186</v>
      </c>
      <c r="E195" s="19">
        <v>45925</v>
      </c>
      <c r="F195" s="16">
        <v>4.2618999999999998</v>
      </c>
    </row>
    <row r="196" spans="3:6">
      <c r="C196" s="8">
        <v>187</v>
      </c>
      <c r="E196" s="19">
        <v>45926</v>
      </c>
      <c r="F196" s="16">
        <v>4.2667999999999999</v>
      </c>
    </row>
    <row r="197" spans="3:6">
      <c r="C197" s="8">
        <v>188</v>
      </c>
      <c r="E197" s="19">
        <v>45929</v>
      </c>
      <c r="F197" s="16">
        <v>4.2687999999999997</v>
      </c>
    </row>
    <row r="198" spans="3:6">
      <c r="C198" s="8">
        <v>189</v>
      </c>
      <c r="E198" s="19">
        <v>45930</v>
      </c>
      <c r="F198" s="16">
        <v>4.2691999999999997</v>
      </c>
    </row>
    <row r="199" spans="3:6">
      <c r="C199" s="8">
        <v>190</v>
      </c>
      <c r="D199" t="s">
        <v>30</v>
      </c>
      <c r="E199" s="19">
        <v>45931</v>
      </c>
      <c r="F199" s="16">
        <v>4.2586000000000004</v>
      </c>
    </row>
    <row r="200" spans="3:6">
      <c r="C200" s="8">
        <v>191</v>
      </c>
      <c r="E200" s="19">
        <v>45932</v>
      </c>
      <c r="F200" s="16">
        <v>4.2560000000000002</v>
      </c>
    </row>
    <row r="201" spans="3:6">
      <c r="C201" s="8">
        <v>192</v>
      </c>
      <c r="E201" s="19">
        <v>45933</v>
      </c>
      <c r="F201" s="16">
        <v>4.2558999999999996</v>
      </c>
    </row>
    <row r="202" spans="3:6">
      <c r="C202" s="8">
        <v>193</v>
      </c>
      <c r="E202" s="19">
        <v>45936</v>
      </c>
      <c r="F202" s="16">
        <v>4.2521000000000004</v>
      </c>
    </row>
    <row r="203" spans="3:6">
      <c r="C203" s="8">
        <v>194</v>
      </c>
      <c r="E203" s="19">
        <v>45937</v>
      </c>
      <c r="F203" s="16">
        <v>4.2558999999999996</v>
      </c>
    </row>
    <row r="204" spans="3:6">
      <c r="C204" s="8">
        <v>195</v>
      </c>
      <c r="E204" s="19">
        <v>45938</v>
      </c>
      <c r="F204" s="16">
        <v>4.2533000000000003</v>
      </c>
    </row>
    <row r="205" spans="3:6">
      <c r="C205" s="8">
        <v>196</v>
      </c>
      <c r="E205" s="19">
        <v>45939</v>
      </c>
      <c r="F205" s="16">
        <v>4.2568999999999999</v>
      </c>
    </row>
    <row r="206" spans="3:6">
      <c r="C206" s="8">
        <v>197</v>
      </c>
      <c r="E206" s="19">
        <v>45940</v>
      </c>
      <c r="F206" s="16">
        <v>4.2583000000000002</v>
      </c>
    </row>
    <row r="207" spans="3:6">
      <c r="C207" s="8">
        <v>198</v>
      </c>
      <c r="E207" s="19">
        <v>45943</v>
      </c>
      <c r="F207" s="16">
        <v>4.2591999999999999</v>
      </c>
    </row>
    <row r="208" spans="3:6">
      <c r="C208" s="8">
        <v>199</v>
      </c>
      <c r="E208" s="19">
        <v>45944</v>
      </c>
      <c r="F208" s="16">
        <v>4.2645</v>
      </c>
    </row>
    <row r="209" spans="3:6">
      <c r="C209" s="8">
        <v>200</v>
      </c>
      <c r="E209" s="19">
        <v>45945</v>
      </c>
      <c r="F209" s="16">
        <v>4.2556000000000003</v>
      </c>
    </row>
    <row r="210" spans="3:6">
      <c r="C210" s="8">
        <v>201</v>
      </c>
      <c r="E210" s="19">
        <v>45946</v>
      </c>
      <c r="F210" s="16">
        <v>4.2516999999999996</v>
      </c>
    </row>
    <row r="211" spans="3:6">
      <c r="C211" s="8">
        <v>202</v>
      </c>
      <c r="E211" s="19">
        <v>45947</v>
      </c>
      <c r="F211" s="16">
        <v>4.2565</v>
      </c>
    </row>
    <row r="212" spans="3:6">
      <c r="C212" s="8">
        <v>203</v>
      </c>
      <c r="E212" s="19">
        <v>45950</v>
      </c>
      <c r="F212" s="16">
        <v>4.2396000000000003</v>
      </c>
    </row>
    <row r="213" spans="3:6">
      <c r="C213" s="8">
        <v>204</v>
      </c>
      <c r="E213" s="19">
        <v>45951</v>
      </c>
      <c r="F213" s="16">
        <v>4.2392000000000003</v>
      </c>
    </row>
    <row r="214" spans="3:6">
      <c r="C214" s="8">
        <v>205</v>
      </c>
      <c r="E214" s="19">
        <v>45952</v>
      </c>
      <c r="F214" s="16">
        <v>4.2438000000000002</v>
      </c>
    </row>
    <row r="215" spans="3:6">
      <c r="C215" s="8">
        <v>206</v>
      </c>
      <c r="E215" s="19">
        <v>45953</v>
      </c>
      <c r="F215" s="16">
        <v>4.2347000000000001</v>
      </c>
    </row>
    <row r="216" spans="3:6">
      <c r="C216" s="8">
        <v>207</v>
      </c>
      <c r="E216" s="19">
        <v>45954</v>
      </c>
      <c r="F216" s="16">
        <v>4.2352999999999996</v>
      </c>
    </row>
    <row r="217" spans="3:6">
      <c r="C217" s="8">
        <v>208</v>
      </c>
      <c r="E217" s="19">
        <v>45957</v>
      </c>
      <c r="F217" s="16">
        <v>4.2352999999999996</v>
      </c>
    </row>
    <row r="218" spans="3:6">
      <c r="C218" s="8">
        <v>209</v>
      </c>
      <c r="E218" s="19">
        <v>45958</v>
      </c>
      <c r="F218" s="16">
        <v>4.2344999999999997</v>
      </c>
    </row>
    <row r="219" spans="3:6">
      <c r="C219" s="8">
        <v>210</v>
      </c>
      <c r="E219" s="19">
        <v>45959</v>
      </c>
      <c r="F219" s="16">
        <v>4.2374000000000001</v>
      </c>
    </row>
    <row r="220" spans="3:6">
      <c r="C220" s="8">
        <v>211</v>
      </c>
      <c r="E220" s="19">
        <v>45960</v>
      </c>
      <c r="F220" s="16">
        <v>4.2424999999999997</v>
      </c>
    </row>
    <row r="221" spans="3:6">
      <c r="C221" s="8">
        <v>212</v>
      </c>
      <c r="E221" s="19">
        <v>45961</v>
      </c>
      <c r="F221" s="16">
        <v>4.2542999999999997</v>
      </c>
    </row>
    <row r="222" spans="3:6">
      <c r="C222" s="8">
        <v>213</v>
      </c>
      <c r="D222" t="s">
        <v>31</v>
      </c>
      <c r="E222" s="19">
        <v>45964</v>
      </c>
      <c r="F222" s="16">
        <v>4.2526999999999999</v>
      </c>
    </row>
    <row r="223" spans="3:6">
      <c r="C223" s="8">
        <v>214</v>
      </c>
      <c r="E223" s="19">
        <v>45965</v>
      </c>
      <c r="F223" s="16">
        <v>4.2575000000000003</v>
      </c>
    </row>
    <row r="224" spans="3:6">
      <c r="C224" s="8">
        <v>215</v>
      </c>
      <c r="E224" s="19">
        <v>45966</v>
      </c>
      <c r="F224" s="16">
        <v>4.2596999999999996</v>
      </c>
    </row>
    <row r="225" spans="3:6">
      <c r="C225" s="8">
        <v>216</v>
      </c>
      <c r="E225" s="19">
        <v>45967</v>
      </c>
      <c r="F225" s="16">
        <v>4.2565999999999997</v>
      </c>
    </row>
    <row r="226" spans="3:6">
      <c r="C226" s="8">
        <v>217</v>
      </c>
      <c r="E226" s="19">
        <v>45968</v>
      </c>
      <c r="F226" s="16">
        <v>4.2483000000000004</v>
      </c>
    </row>
    <row r="227" spans="3:6">
      <c r="C227" s="8">
        <v>218</v>
      </c>
      <c r="E227" s="19">
        <v>45971</v>
      </c>
      <c r="F227" s="16">
        <v>4.2351000000000001</v>
      </c>
    </row>
    <row r="228" spans="3:6">
      <c r="C228" s="8">
        <v>219</v>
      </c>
      <c r="E228" s="19">
        <v>45973</v>
      </c>
      <c r="F228" s="16">
        <v>4.2312000000000003</v>
      </c>
    </row>
    <row r="229" spans="3:6">
      <c r="C229" s="8">
        <v>220</v>
      </c>
      <c r="E229" s="19">
        <v>45974</v>
      </c>
      <c r="F229" s="16">
        <v>4.2304000000000004</v>
      </c>
    </row>
    <row r="230" spans="3:6">
      <c r="C230" s="8">
        <v>221</v>
      </c>
      <c r="E230" s="19">
        <v>45975</v>
      </c>
      <c r="F230" s="16">
        <v>4.2274000000000003</v>
      </c>
    </row>
    <row r="231" spans="3:6">
      <c r="C231" s="8">
        <v>222</v>
      </c>
      <c r="E231" s="19">
        <v>45978</v>
      </c>
      <c r="F231" s="16">
        <v>4.2230999999999996</v>
      </c>
    </row>
    <row r="232" spans="3:6">
      <c r="C232" s="8">
        <v>223</v>
      </c>
      <c r="E232" s="19">
        <v>45979</v>
      </c>
      <c r="F232" s="16">
        <v>4.2331000000000003</v>
      </c>
    </row>
    <row r="233" spans="3:6">
      <c r="C233" s="8">
        <v>224</v>
      </c>
      <c r="E233" s="19">
        <v>45980</v>
      </c>
      <c r="F233" s="16">
        <v>4.2423999999999999</v>
      </c>
    </row>
    <row r="234" spans="3:6">
      <c r="C234" s="8">
        <v>225</v>
      </c>
      <c r="E234" s="19">
        <v>45981</v>
      </c>
      <c r="F234" s="16">
        <v>4.2289000000000003</v>
      </c>
    </row>
    <row r="235" spans="3:6">
      <c r="C235" s="8">
        <v>226</v>
      </c>
      <c r="E235" s="19">
        <v>45982</v>
      </c>
      <c r="F235" s="16">
        <v>4.2488999999999999</v>
      </c>
    </row>
    <row r="236" spans="3:6">
      <c r="C236" s="8">
        <v>227</v>
      </c>
      <c r="E236" s="19">
        <v>45985</v>
      </c>
      <c r="F236" s="16">
        <v>4.2344999999999997</v>
      </c>
    </row>
    <row r="237" spans="3:6">
      <c r="C237" s="8">
        <v>228</v>
      </c>
      <c r="E237" s="19">
        <v>45986</v>
      </c>
      <c r="F237" s="16">
        <v>4.2301000000000002</v>
      </c>
    </row>
    <row r="238" spans="3:6">
      <c r="C238" s="8">
        <v>229</v>
      </c>
      <c r="E238" s="19">
        <v>45987</v>
      </c>
      <c r="F238" s="16">
        <v>4.2329999999999997</v>
      </c>
    </row>
    <row r="239" spans="3:6">
      <c r="C239" s="8">
        <v>230</v>
      </c>
      <c r="E239" s="19">
        <v>45988</v>
      </c>
      <c r="F239" s="16">
        <v>4.2270000000000003</v>
      </c>
    </row>
    <row r="240" spans="3:6">
      <c r="C240" s="8">
        <v>231</v>
      </c>
      <c r="E240" s="19">
        <v>45989</v>
      </c>
      <c r="F240" s="16">
        <v>4.2369000000000003</v>
      </c>
    </row>
    <row r="241" spans="3:6">
      <c r="C241" s="8">
        <v>232</v>
      </c>
      <c r="D241" t="s">
        <v>32</v>
      </c>
      <c r="E241" s="19">
        <v>45992</v>
      </c>
      <c r="F241" s="16">
        <v>4.2286000000000001</v>
      </c>
    </row>
    <row r="242" spans="3:6">
      <c r="C242" s="8">
        <v>233</v>
      </c>
      <c r="E242" s="19">
        <v>45993</v>
      </c>
      <c r="F242" s="16">
        <v>4.2389999999999999</v>
      </c>
    </row>
    <row r="243" spans="3:6">
      <c r="C243" s="8">
        <v>234</v>
      </c>
      <c r="E243" s="19">
        <v>45994</v>
      </c>
      <c r="F243" s="16">
        <v>4.2312000000000003</v>
      </c>
    </row>
    <row r="244" spans="3:6">
      <c r="C244" s="8">
        <v>235</v>
      </c>
      <c r="E244" s="19">
        <v>45995</v>
      </c>
      <c r="F244" s="16">
        <v>4.2298999999999998</v>
      </c>
    </row>
    <row r="245" spans="3:6">
      <c r="C245" s="8">
        <v>236</v>
      </c>
      <c r="E245" s="19">
        <v>45996</v>
      </c>
      <c r="F245" s="16">
        <v>4.2321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44C0-C54B-BD40-9101-995CA566D80D}">
  <dimension ref="C8:Z245"/>
  <sheetViews>
    <sheetView tabSelected="1" topLeftCell="H1" workbookViewId="0">
      <selection activeCell="T47" sqref="T47"/>
    </sheetView>
  </sheetViews>
  <sheetFormatPr baseColWidth="10" defaultRowHeight="15"/>
  <cols>
    <col min="9" max="9" width="16.6640625" customWidth="1"/>
    <col min="14" max="14" width="11.6640625" bestFit="1" customWidth="1"/>
  </cols>
  <sheetData>
    <row r="8" spans="3:6">
      <c r="C8" s="8"/>
      <c r="E8" s="17" t="s">
        <v>16</v>
      </c>
      <c r="F8" s="17" t="s">
        <v>17</v>
      </c>
    </row>
    <row r="9" spans="3:6">
      <c r="C9" s="31" t="s">
        <v>36</v>
      </c>
      <c r="E9" s="15"/>
      <c r="F9" s="22" t="s">
        <v>18</v>
      </c>
    </row>
    <row r="10" spans="3:6">
      <c r="C10" s="8">
        <v>1</v>
      </c>
      <c r="D10" t="s">
        <v>21</v>
      </c>
      <c r="E10" s="19">
        <v>45659</v>
      </c>
      <c r="F10" s="16">
        <v>4.2667999999999999</v>
      </c>
    </row>
    <row r="11" spans="3:6">
      <c r="C11" s="8">
        <v>2</v>
      </c>
      <c r="E11" s="19">
        <v>45660</v>
      </c>
      <c r="F11" s="16">
        <v>4.2717999999999998</v>
      </c>
    </row>
    <row r="12" spans="3:6">
      <c r="C12" s="8">
        <v>3</v>
      </c>
      <c r="E12" s="19">
        <v>45664</v>
      </c>
      <c r="F12" s="16">
        <v>4.2515000000000001</v>
      </c>
    </row>
    <row r="13" spans="3:6">
      <c r="C13" s="8">
        <v>4</v>
      </c>
      <c r="E13" s="19">
        <v>45665</v>
      </c>
      <c r="F13" s="16">
        <v>4.2656000000000001</v>
      </c>
    </row>
    <row r="14" spans="3:6">
      <c r="C14" s="8">
        <v>5</v>
      </c>
      <c r="E14" s="19">
        <v>45666</v>
      </c>
      <c r="F14" s="16">
        <v>4.2793999999999999</v>
      </c>
    </row>
    <row r="15" spans="3:6">
      <c r="C15" s="8">
        <v>6</v>
      </c>
      <c r="E15" s="19">
        <v>45667</v>
      </c>
      <c r="F15" s="16">
        <v>4.2656999999999998</v>
      </c>
    </row>
    <row r="16" spans="3:6">
      <c r="C16" s="8">
        <v>7</v>
      </c>
      <c r="E16" s="19">
        <v>45670</v>
      </c>
      <c r="F16" s="16">
        <v>4.2714999999999996</v>
      </c>
    </row>
    <row r="17" spans="3:6">
      <c r="C17" s="8">
        <v>8</v>
      </c>
      <c r="E17" s="19">
        <v>45671</v>
      </c>
      <c r="F17" s="16">
        <v>4.2736999999999998</v>
      </c>
    </row>
    <row r="18" spans="3:6">
      <c r="C18" s="8">
        <v>9</v>
      </c>
      <c r="E18" s="19">
        <v>45672</v>
      </c>
      <c r="F18" s="16">
        <v>4.2610999999999999</v>
      </c>
    </row>
    <row r="19" spans="3:6">
      <c r="C19" s="8">
        <v>10</v>
      </c>
      <c r="E19" s="19">
        <v>45673</v>
      </c>
      <c r="F19" s="16">
        <v>4.2619999999999996</v>
      </c>
    </row>
    <row r="20" spans="3:6">
      <c r="C20" s="8">
        <v>11</v>
      </c>
      <c r="E20" s="19">
        <v>45674</v>
      </c>
      <c r="F20" s="16">
        <v>4.2690999999999999</v>
      </c>
    </row>
    <row r="21" spans="3:6">
      <c r="C21" s="8">
        <v>12</v>
      </c>
      <c r="E21" s="19">
        <v>45677</v>
      </c>
      <c r="F21" s="16">
        <v>4.2587000000000002</v>
      </c>
    </row>
    <row r="22" spans="3:6">
      <c r="C22" s="8">
        <v>13</v>
      </c>
      <c r="E22" s="19">
        <v>45678</v>
      </c>
      <c r="F22" s="16">
        <v>4.2553999999999998</v>
      </c>
    </row>
    <row r="23" spans="3:6">
      <c r="C23" s="8">
        <v>14</v>
      </c>
      <c r="E23" s="19">
        <v>45679</v>
      </c>
      <c r="F23" s="16">
        <v>4.2461000000000002</v>
      </c>
    </row>
    <row r="24" spans="3:6">
      <c r="C24" s="8">
        <v>15</v>
      </c>
      <c r="E24" s="19">
        <v>45680</v>
      </c>
      <c r="F24" s="16">
        <v>4.2182000000000004</v>
      </c>
    </row>
    <row r="25" spans="3:6">
      <c r="C25" s="8">
        <v>16</v>
      </c>
      <c r="E25" s="19">
        <v>45681</v>
      </c>
      <c r="F25" s="16">
        <v>4.21</v>
      </c>
    </row>
    <row r="26" spans="3:6">
      <c r="C26" s="8">
        <v>17</v>
      </c>
      <c r="E26" s="19">
        <v>45684</v>
      </c>
      <c r="F26" s="16">
        <v>4.2176</v>
      </c>
    </row>
    <row r="27" spans="3:6">
      <c r="C27" s="8">
        <v>18</v>
      </c>
      <c r="E27" s="19">
        <v>45685</v>
      </c>
      <c r="F27" s="16">
        <v>4.2092000000000001</v>
      </c>
    </row>
    <row r="28" spans="3:6">
      <c r="C28" s="8">
        <v>19</v>
      </c>
      <c r="E28" s="19">
        <v>45686</v>
      </c>
      <c r="F28" s="16">
        <v>4.2077</v>
      </c>
    </row>
    <row r="29" spans="3:6">
      <c r="C29" s="8">
        <v>20</v>
      </c>
      <c r="E29" s="19">
        <v>45687</v>
      </c>
      <c r="F29" s="16">
        <v>4.2039</v>
      </c>
    </row>
    <row r="30" spans="3:6">
      <c r="C30" s="8">
        <v>21</v>
      </c>
      <c r="E30" s="19">
        <v>45688</v>
      </c>
      <c r="F30" s="16">
        <v>4.2130000000000001</v>
      </c>
    </row>
    <row r="31" spans="3:6">
      <c r="C31" s="8">
        <v>22</v>
      </c>
      <c r="D31" t="s">
        <v>22</v>
      </c>
      <c r="E31" s="19">
        <v>45691</v>
      </c>
      <c r="F31" s="16">
        <v>4.2305000000000001</v>
      </c>
    </row>
    <row r="32" spans="3:6">
      <c r="C32" s="8">
        <v>23</v>
      </c>
      <c r="E32" s="19">
        <v>45692</v>
      </c>
      <c r="F32" s="16">
        <v>4.2248999999999999</v>
      </c>
    </row>
    <row r="33" spans="3:26">
      <c r="C33" s="8">
        <v>24</v>
      </c>
      <c r="E33" s="19">
        <v>45693</v>
      </c>
      <c r="F33" s="16">
        <v>4.2058999999999997</v>
      </c>
    </row>
    <row r="34" spans="3:26">
      <c r="C34" s="8">
        <v>25</v>
      </c>
      <c r="E34" s="19">
        <v>45694</v>
      </c>
      <c r="F34" s="16">
        <v>4.2073</v>
      </c>
    </row>
    <row r="35" spans="3:26">
      <c r="C35" s="8">
        <v>26</v>
      </c>
      <c r="E35" s="19">
        <v>45695</v>
      </c>
      <c r="F35" s="16">
        <v>4.1898</v>
      </c>
    </row>
    <row r="36" spans="3:26">
      <c r="C36" s="8">
        <v>27</v>
      </c>
      <c r="E36" s="19">
        <v>45698</v>
      </c>
      <c r="F36" s="16">
        <v>4.1871999999999998</v>
      </c>
    </row>
    <row r="37" spans="3:26">
      <c r="C37" s="8">
        <v>28</v>
      </c>
      <c r="E37" s="19">
        <v>45699</v>
      </c>
      <c r="F37" s="16">
        <v>4.1783000000000001</v>
      </c>
    </row>
    <row r="38" spans="3:26">
      <c r="C38" s="8">
        <v>29</v>
      </c>
      <c r="E38" s="19">
        <v>45700</v>
      </c>
      <c r="F38" s="16">
        <v>4.1721000000000004</v>
      </c>
    </row>
    <row r="39" spans="3:26">
      <c r="C39" s="8">
        <v>30</v>
      </c>
      <c r="E39" s="19">
        <v>45701</v>
      </c>
      <c r="F39" s="16">
        <v>4.1651999999999996</v>
      </c>
    </row>
    <row r="40" spans="3:26">
      <c r="C40" s="8">
        <v>31</v>
      </c>
      <c r="E40" s="19">
        <v>45702</v>
      </c>
      <c r="F40" s="16">
        <v>4.1631999999999998</v>
      </c>
    </row>
    <row r="41" spans="3:26">
      <c r="C41" s="8">
        <v>32</v>
      </c>
      <c r="E41" s="19">
        <v>45705</v>
      </c>
      <c r="F41" s="16">
        <v>4.1635</v>
      </c>
    </row>
    <row r="42" spans="3:26">
      <c r="C42" s="8">
        <v>33</v>
      </c>
      <c r="E42" s="19">
        <v>45706</v>
      </c>
      <c r="F42" s="16">
        <v>4.1574</v>
      </c>
    </row>
    <row r="43" spans="3:26">
      <c r="C43" s="8">
        <v>34</v>
      </c>
      <c r="E43" s="19">
        <v>45707</v>
      </c>
      <c r="F43" s="16">
        <v>4.1581999999999999</v>
      </c>
    </row>
    <row r="44" spans="3:26">
      <c r="C44" s="8">
        <v>35</v>
      </c>
      <c r="E44" s="19">
        <v>45708</v>
      </c>
      <c r="F44" s="16">
        <v>4.1722999999999999</v>
      </c>
    </row>
    <row r="45" spans="3:26">
      <c r="C45" s="8">
        <v>36</v>
      </c>
      <c r="E45" s="19">
        <v>45709</v>
      </c>
      <c r="F45" s="16">
        <v>4.1704999999999997</v>
      </c>
    </row>
    <row r="46" spans="3:26">
      <c r="C46" s="8">
        <v>37</v>
      </c>
      <c r="E46" s="19">
        <v>45712</v>
      </c>
      <c r="F46" s="16">
        <v>4.1608999999999998</v>
      </c>
    </row>
    <row r="47" spans="3:26">
      <c r="C47" s="8">
        <v>38</v>
      </c>
      <c r="E47" s="19">
        <v>45713</v>
      </c>
      <c r="F47" s="16">
        <v>4.1338999999999997</v>
      </c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3:26">
      <c r="C48" s="8">
        <v>39</v>
      </c>
      <c r="E48" s="19">
        <v>45714</v>
      </c>
      <c r="F48" s="16">
        <v>4.1394000000000002</v>
      </c>
      <c r="I48" s="38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3:25">
      <c r="C49" s="8">
        <v>40</v>
      </c>
      <c r="E49" s="19">
        <v>45715</v>
      </c>
      <c r="F49" s="16">
        <v>4.1371000000000002</v>
      </c>
      <c r="I49" s="38"/>
      <c r="J49" s="39"/>
      <c r="K49" s="39"/>
      <c r="L49" s="39"/>
      <c r="M49" s="39"/>
      <c r="N49" s="39"/>
      <c r="O49" s="39"/>
      <c r="P49" s="39"/>
      <c r="Q49" s="39"/>
      <c r="R49" s="39"/>
    </row>
    <row r="50" spans="3:25">
      <c r="C50" s="8">
        <v>41</v>
      </c>
      <c r="E50" s="19">
        <v>45716</v>
      </c>
      <c r="F50" s="16">
        <v>4.1574999999999998</v>
      </c>
      <c r="I50" s="38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3:25">
      <c r="C51" s="8">
        <v>42</v>
      </c>
      <c r="D51" t="s">
        <v>23</v>
      </c>
      <c r="E51" s="19">
        <v>45719</v>
      </c>
      <c r="F51" s="16">
        <v>4.1826999999999996</v>
      </c>
      <c r="I51" s="38"/>
    </row>
    <row r="52" spans="3:25">
      <c r="C52" s="8">
        <v>43</v>
      </c>
      <c r="E52" s="19">
        <v>45720</v>
      </c>
      <c r="F52" s="16">
        <v>4.1567999999999996</v>
      </c>
      <c r="R52" t="s">
        <v>55</v>
      </c>
      <c r="S52" t="s">
        <v>56</v>
      </c>
    </row>
    <row r="53" spans="3:25">
      <c r="C53" s="8">
        <v>44</v>
      </c>
      <c r="E53" s="19">
        <v>45721</v>
      </c>
      <c r="F53" s="16">
        <v>4.1544999999999996</v>
      </c>
      <c r="Q53">
        <v>1</v>
      </c>
      <c r="R53" s="44">
        <f>'Dane ilościowe - sz. przedziało'!I20</f>
        <v>4.1338999999999997</v>
      </c>
      <c r="S53">
        <f>'Dane ilościowe - sz. przedziało'!L20</f>
        <v>3</v>
      </c>
      <c r="T53" s="45">
        <f>'Dane ilościowe - sz. przedziało'!N20</f>
        <v>1.2711864406779662E-2</v>
      </c>
    </row>
    <row r="54" spans="3:25">
      <c r="C54" s="8">
        <v>45</v>
      </c>
      <c r="E54" s="19">
        <v>45722</v>
      </c>
      <c r="F54" s="16">
        <v>4.1765999999999996</v>
      </c>
      <c r="Q54">
        <v>2</v>
      </c>
      <c r="R54" s="44">
        <f>'Dane ilościowe - sz. przedziało'!I21</f>
        <v>4.1444874999999994</v>
      </c>
      <c r="S54">
        <f>'Dane ilościowe - sz. przedziało'!L21</f>
        <v>1</v>
      </c>
      <c r="T54" s="45">
        <f>'Dane ilościowe - sz. przedziało'!N21</f>
        <v>1.6949152542372881E-2</v>
      </c>
    </row>
    <row r="55" spans="3:25">
      <c r="C55" s="8">
        <v>46</v>
      </c>
      <c r="E55" s="19">
        <v>45723</v>
      </c>
      <c r="F55" s="16">
        <v>4.1760000000000002</v>
      </c>
      <c r="I55" s="20"/>
      <c r="Q55">
        <v>3</v>
      </c>
      <c r="R55" s="44">
        <f>'Dane ilościowe - sz. przedziało'!I22</f>
        <v>4.1550749999999992</v>
      </c>
      <c r="S55">
        <f>'Dane ilościowe - sz. przedziało'!L22</f>
        <v>8</v>
      </c>
      <c r="T55" s="45">
        <f>'Dane ilościowe - sz. przedziało'!N22</f>
        <v>5.0847457627118647E-2</v>
      </c>
    </row>
    <row r="56" spans="3:25">
      <c r="C56" s="8">
        <v>47</v>
      </c>
      <c r="E56" s="19">
        <v>45726</v>
      </c>
      <c r="F56" s="16">
        <v>4.1856999999999998</v>
      </c>
      <c r="Q56">
        <v>4</v>
      </c>
      <c r="R56" s="44">
        <f>'Dane ilościowe - sz. przedziało'!I23</f>
        <v>4.1656624999999989</v>
      </c>
      <c r="S56">
        <f>'Dane ilościowe - sz. przedziało'!L23</f>
        <v>6</v>
      </c>
      <c r="T56" s="45">
        <f>'Dane ilościowe - sz. przedziało'!N23</f>
        <v>7.6271186440677971E-2</v>
      </c>
    </row>
    <row r="57" spans="3:25">
      <c r="C57" s="8">
        <v>48</v>
      </c>
      <c r="E57" s="19">
        <v>45727</v>
      </c>
      <c r="F57" s="16">
        <v>4.1977000000000002</v>
      </c>
      <c r="I57" s="24" t="s">
        <v>52</v>
      </c>
      <c r="J57" s="23"/>
      <c r="K57" s="23"/>
      <c r="L57" s="23"/>
      <c r="M57" s="23"/>
      <c r="N57" s="40">
        <f>'Dane ilościowe - sz. przedziało'!D247</f>
        <v>236</v>
      </c>
      <c r="O57" s="23"/>
      <c r="P57" s="23"/>
      <c r="Q57">
        <v>5</v>
      </c>
      <c r="R57" s="44">
        <f>'Dane ilościowe - sz. przedziało'!I24</f>
        <v>4.1762499999999987</v>
      </c>
      <c r="S57">
        <f>'Dane ilościowe - sz. przedziało'!L24</f>
        <v>13</v>
      </c>
      <c r="T57" s="45">
        <f>'Dane ilościowe - sz. przedziało'!N24</f>
        <v>0.13135593220338984</v>
      </c>
    </row>
    <row r="58" spans="3:25">
      <c r="C58" s="8">
        <v>49</v>
      </c>
      <c r="E58" s="19">
        <v>45728</v>
      </c>
      <c r="F58" s="16">
        <v>4.2016999999999998</v>
      </c>
      <c r="I58" s="24" t="s">
        <v>34</v>
      </c>
      <c r="J58" s="23"/>
      <c r="K58" s="23"/>
      <c r="L58" s="23"/>
      <c r="M58" s="23"/>
      <c r="N58" s="42">
        <f>'Dane ilościowe - sz. przedziało'!L12</f>
        <v>15.362291495737216</v>
      </c>
      <c r="O58" s="23" t="s">
        <v>40</v>
      </c>
      <c r="P58" s="41">
        <f>'Dane ilościowe - sz. przedziało'!N12</f>
        <v>16</v>
      </c>
      <c r="Q58">
        <v>6</v>
      </c>
      <c r="R58" s="44">
        <f>'Dane ilościowe - sz. przedziało'!I25</f>
        <v>4.1868374999999984</v>
      </c>
      <c r="S58">
        <f>'Dane ilościowe - sz. przedziało'!L25</f>
        <v>6</v>
      </c>
      <c r="T58" s="45">
        <f>'Dane ilościowe - sz. przedziało'!N25</f>
        <v>0.15677966101694915</v>
      </c>
    </row>
    <row r="59" spans="3:25">
      <c r="C59" s="8">
        <v>50</v>
      </c>
      <c r="E59" s="19">
        <v>45729</v>
      </c>
      <c r="F59" s="16">
        <v>4.1959999999999997</v>
      </c>
      <c r="I59" s="24" t="s">
        <v>35</v>
      </c>
      <c r="J59" s="23"/>
      <c r="K59" s="23"/>
      <c r="L59" s="23"/>
      <c r="M59" s="23"/>
      <c r="N59" s="43">
        <f>'Dane ilościowe - sz. przedziało'!L13</f>
        <v>1.0587500000000027E-2</v>
      </c>
      <c r="O59" s="23"/>
      <c r="P59" s="23"/>
      <c r="Q59">
        <v>7</v>
      </c>
      <c r="R59" s="44">
        <f>'Dane ilościowe - sz. przedziało'!I26</f>
        <v>4.1974249999999982</v>
      </c>
      <c r="S59">
        <f>'Dane ilościowe - sz. przedziało'!L26</f>
        <v>7</v>
      </c>
      <c r="T59" s="45">
        <f>'Dane ilościowe - sz. przedziało'!N26</f>
        <v>0.1864406779661017</v>
      </c>
    </row>
    <row r="60" spans="3:25">
      <c r="C60" s="8">
        <v>51</v>
      </c>
      <c r="E60" s="19">
        <v>45730</v>
      </c>
      <c r="F60" s="16">
        <v>4.1790000000000003</v>
      </c>
      <c r="I60" s="24" t="s">
        <v>38</v>
      </c>
      <c r="J60" s="23"/>
      <c r="K60" s="23"/>
      <c r="L60" s="23"/>
      <c r="M60" s="23"/>
      <c r="N60" s="40">
        <f>'Dane ilościowe - sz. przedziało'!D248</f>
        <v>4.1338999999999997</v>
      </c>
      <c r="O60" s="23"/>
      <c r="P60" s="23"/>
      <c r="Q60">
        <v>8</v>
      </c>
      <c r="R60" s="44">
        <f>'Dane ilościowe - sz. przedziało'!I27</f>
        <v>4.2080124999999979</v>
      </c>
      <c r="S60">
        <f>'Dane ilościowe - sz. przedziało'!L27</f>
        <v>5</v>
      </c>
      <c r="T60" s="45">
        <f>'Dane ilościowe - sz. przedziało'!N27</f>
        <v>0.2076271186440678</v>
      </c>
    </row>
    <row r="61" spans="3:25">
      <c r="C61" s="8">
        <v>52</v>
      </c>
      <c r="E61" s="19">
        <v>45733</v>
      </c>
      <c r="F61" s="16">
        <v>4.1776999999999997</v>
      </c>
      <c r="I61" s="24" t="s">
        <v>39</v>
      </c>
      <c r="J61" s="23"/>
      <c r="K61" s="23"/>
      <c r="L61" s="23"/>
      <c r="M61" s="23"/>
      <c r="N61" s="40">
        <f>'Dane ilościowe - sz. przedziało'!D249</f>
        <v>4.3033000000000001</v>
      </c>
      <c r="O61" s="23"/>
      <c r="P61" s="23"/>
      <c r="Q61">
        <v>9</v>
      </c>
      <c r="R61" s="44">
        <f>'Dane ilościowe - sz. przedziało'!I28</f>
        <v>4.2185999999999977</v>
      </c>
      <c r="S61">
        <f>'Dane ilościowe - sz. przedziało'!L28</f>
        <v>6</v>
      </c>
      <c r="T61" s="45">
        <f>'Dane ilościowe - sz. przedziało'!N28</f>
        <v>0.23305084745762711</v>
      </c>
    </row>
    <row r="62" spans="3:25">
      <c r="C62" s="8">
        <v>53</v>
      </c>
      <c r="E62" s="19">
        <v>45734</v>
      </c>
      <c r="F62" s="16">
        <v>4.1776</v>
      </c>
      <c r="Q62">
        <v>10</v>
      </c>
      <c r="R62" s="44">
        <f>'Dane ilościowe - sz. przedziało'!I29</f>
        <v>4.2291874999999974</v>
      </c>
      <c r="S62">
        <f>'Dane ilościowe - sz. przedziało'!L29</f>
        <v>25</v>
      </c>
      <c r="T62" s="45">
        <f>'Dane ilościowe - sz. przedziało'!N29</f>
        <v>0.33898305084745761</v>
      </c>
    </row>
    <row r="63" spans="3:25">
      <c r="C63" s="8">
        <v>54</v>
      </c>
      <c r="E63" s="19">
        <v>45735</v>
      </c>
      <c r="F63" s="16">
        <v>4.1944999999999997</v>
      </c>
      <c r="Q63">
        <v>11</v>
      </c>
      <c r="R63" s="44">
        <f>'Dane ilościowe - sz. przedziało'!I30</f>
        <v>4.2397749999999972</v>
      </c>
      <c r="S63">
        <f>'Dane ilościowe - sz. przedziało'!L30</f>
        <v>27</v>
      </c>
      <c r="T63" s="45">
        <f>'Dane ilościowe - sz. przedziało'!N30</f>
        <v>0.45338983050847459</v>
      </c>
    </row>
    <row r="64" spans="3:25">
      <c r="C64" s="8">
        <v>55</v>
      </c>
      <c r="E64" s="19">
        <v>45736</v>
      </c>
      <c r="F64" s="16">
        <v>4.1971999999999996</v>
      </c>
      <c r="I64" s="24" t="s">
        <v>53</v>
      </c>
      <c r="J64" s="23" t="s">
        <v>54</v>
      </c>
      <c r="Q64">
        <v>12</v>
      </c>
      <c r="R64" s="44">
        <f>'Dane ilościowe - sz. przedziało'!I31</f>
        <v>4.2503624999999969</v>
      </c>
      <c r="S64">
        <f>'Dane ilościowe - sz. przedziało'!L31</f>
        <v>54</v>
      </c>
      <c r="T64" s="45">
        <f>'Dane ilościowe - sz. przedziało'!N31</f>
        <v>0.68220338983050843</v>
      </c>
    </row>
    <row r="65" spans="3:20">
      <c r="C65" s="8">
        <v>56</v>
      </c>
      <c r="E65" s="19">
        <v>45737</v>
      </c>
      <c r="F65" s="16">
        <v>4.1978999999999997</v>
      </c>
      <c r="I65" s="23">
        <f>'Dane ilościowe - sz. przedziało'!G20</f>
        <v>1</v>
      </c>
      <c r="J65" s="26">
        <f>'Dane ilościowe - sz. przedziało'!J20</f>
        <v>4.1444874999999994</v>
      </c>
      <c r="Q65">
        <v>13</v>
      </c>
      <c r="R65" s="44">
        <f>'Dane ilościowe - sz. przedziało'!I32</f>
        <v>4.2609499999999967</v>
      </c>
      <c r="S65">
        <f>'Dane ilościowe - sz. przedziało'!L32</f>
        <v>38</v>
      </c>
      <c r="T65" s="45">
        <f>'Dane ilościowe - sz. przedziało'!N32</f>
        <v>0.84322033898305082</v>
      </c>
    </row>
    <row r="66" spans="3:20">
      <c r="C66" s="8">
        <v>57</v>
      </c>
      <c r="E66" s="19">
        <v>45740</v>
      </c>
      <c r="F66" s="16">
        <v>4.1832000000000003</v>
      </c>
      <c r="I66" s="23">
        <f>'Dane ilościowe - sz. przedziało'!G21</f>
        <v>2</v>
      </c>
      <c r="J66" s="26">
        <f>'Dane ilościowe - sz. przedziało'!J21</f>
        <v>4.1550749999999992</v>
      </c>
      <c r="Q66">
        <v>14</v>
      </c>
      <c r="R66" s="44">
        <f>'Dane ilościowe - sz. przedziało'!I33</f>
        <v>4.2715374999999964</v>
      </c>
      <c r="S66">
        <f>'Dane ilościowe - sz. przedziało'!L33</f>
        <v>29</v>
      </c>
      <c r="T66" s="45">
        <f>'Dane ilościowe - sz. przedziało'!N33</f>
        <v>0.96610169491525422</v>
      </c>
    </row>
    <row r="67" spans="3:20">
      <c r="C67" s="8">
        <v>58</v>
      </c>
      <c r="E67" s="19">
        <v>45741</v>
      </c>
      <c r="F67" s="16">
        <v>4.1664000000000003</v>
      </c>
      <c r="I67" s="23">
        <f>'Dane ilościowe - sz. przedziało'!G22</f>
        <v>3</v>
      </c>
      <c r="J67" s="26">
        <f>'Dane ilościowe - sz. przedziało'!J22</f>
        <v>4.1656624999999989</v>
      </c>
      <c r="Q67">
        <v>15</v>
      </c>
      <c r="R67" s="44">
        <f>'Dane ilościowe - sz. przedziało'!I34</f>
        <v>4.2821249999999962</v>
      </c>
      <c r="S67">
        <f>'Dane ilościowe - sz. przedziało'!L34</f>
        <v>4</v>
      </c>
      <c r="T67" s="45">
        <f>'Dane ilościowe - sz. przedziało'!N34</f>
        <v>0.98305084745762716</v>
      </c>
    </row>
    <row r="68" spans="3:20">
      <c r="C68" s="8">
        <v>59</v>
      </c>
      <c r="E68" s="19">
        <v>45742</v>
      </c>
      <c r="F68" s="16">
        <v>4.1685999999999996</v>
      </c>
      <c r="I68" s="23">
        <f>'Dane ilościowe - sz. przedziało'!G23</f>
        <v>4</v>
      </c>
      <c r="J68" s="26">
        <f>'Dane ilościowe - sz. przedziało'!J23</f>
        <v>4.1762499999999987</v>
      </c>
      <c r="Q68" t="s">
        <v>57</v>
      </c>
      <c r="R68" t="s">
        <v>57</v>
      </c>
      <c r="T68" s="45">
        <f>'Dane ilościowe - sz. przedziało'!N35</f>
        <v>1</v>
      </c>
    </row>
    <row r="69" spans="3:20">
      <c r="C69" s="8">
        <v>60</v>
      </c>
      <c r="E69" s="19">
        <v>45743</v>
      </c>
      <c r="F69" s="16">
        <v>4.1913</v>
      </c>
      <c r="I69" s="23">
        <f>'Dane ilościowe - sz. przedziało'!G24</f>
        <v>5</v>
      </c>
      <c r="J69" s="26">
        <f>'Dane ilościowe - sz. przedziało'!J24</f>
        <v>4.1868374999999984</v>
      </c>
    </row>
    <row r="70" spans="3:20">
      <c r="C70" s="8">
        <v>61</v>
      </c>
      <c r="E70" s="19">
        <v>45744</v>
      </c>
      <c r="F70" s="16">
        <v>4.1818999999999997</v>
      </c>
      <c r="I70" s="23">
        <f>'Dane ilościowe - sz. przedziało'!G25</f>
        <v>6</v>
      </c>
      <c r="J70" s="26">
        <f>'Dane ilościowe - sz. przedziało'!J25</f>
        <v>4.1974249999999982</v>
      </c>
    </row>
    <row r="71" spans="3:20">
      <c r="C71" s="8">
        <v>62</v>
      </c>
      <c r="E71" s="19">
        <v>45747</v>
      </c>
      <c r="F71" s="16">
        <v>4.1839000000000004</v>
      </c>
      <c r="I71" s="23">
        <f>'Dane ilościowe - sz. przedziało'!G26</f>
        <v>7</v>
      </c>
      <c r="J71" s="26">
        <f>'Dane ilościowe - sz. przedziało'!J26</f>
        <v>4.2080124999999979</v>
      </c>
    </row>
    <row r="72" spans="3:20">
      <c r="C72" s="8">
        <v>63</v>
      </c>
      <c r="D72" t="s">
        <v>24</v>
      </c>
      <c r="E72" s="19">
        <v>45748</v>
      </c>
      <c r="F72" s="16">
        <v>4.1818</v>
      </c>
      <c r="I72" s="23">
        <f>'Dane ilościowe - sz. przedziało'!G27</f>
        <v>8</v>
      </c>
      <c r="J72" s="26">
        <f>'Dane ilościowe - sz. przedziało'!J27</f>
        <v>4.2185999999999977</v>
      </c>
    </row>
    <row r="73" spans="3:20">
      <c r="C73" s="8">
        <v>64</v>
      </c>
      <c r="E73" s="19">
        <v>45749</v>
      </c>
      <c r="F73" s="16">
        <v>4.1794000000000002</v>
      </c>
      <c r="I73" s="23">
        <f>'Dane ilościowe - sz. przedziało'!G28</f>
        <v>9</v>
      </c>
      <c r="J73" s="26">
        <f>'Dane ilościowe - sz. przedziało'!J28</f>
        <v>4.2291874999999974</v>
      </c>
    </row>
    <row r="74" spans="3:20">
      <c r="C74" s="8">
        <v>65</v>
      </c>
      <c r="E74" s="19">
        <v>45750</v>
      </c>
      <c r="F74" s="16">
        <v>4.1791</v>
      </c>
      <c r="I74" s="23">
        <f>'Dane ilościowe - sz. przedziało'!G29</f>
        <v>10</v>
      </c>
      <c r="J74" s="26">
        <f>'Dane ilościowe - sz. przedziało'!J29</f>
        <v>4.2397749999999972</v>
      </c>
    </row>
    <row r="75" spans="3:20">
      <c r="C75" s="8">
        <v>66</v>
      </c>
      <c r="E75" s="19">
        <v>45751</v>
      </c>
      <c r="F75" s="16">
        <v>4.2403000000000004</v>
      </c>
      <c r="I75" s="23">
        <f>'Dane ilościowe - sz. przedziało'!G30</f>
        <v>11</v>
      </c>
      <c r="J75" s="26">
        <f>'Dane ilościowe - sz. przedziało'!J30</f>
        <v>4.2503624999999969</v>
      </c>
    </row>
    <row r="76" spans="3:20">
      <c r="C76" s="8">
        <v>67</v>
      </c>
      <c r="E76" s="19">
        <v>45754</v>
      </c>
      <c r="F76" s="16">
        <v>4.2975000000000003</v>
      </c>
      <c r="I76" s="23">
        <f>'Dane ilościowe - sz. przedziało'!G31</f>
        <v>12</v>
      </c>
      <c r="J76" s="26">
        <f>'Dane ilościowe - sz. przedziało'!J31</f>
        <v>4.2609499999999967</v>
      </c>
    </row>
    <row r="77" spans="3:20">
      <c r="C77" s="8">
        <v>68</v>
      </c>
      <c r="E77" s="19">
        <v>45755</v>
      </c>
      <c r="F77" s="16">
        <v>4.2946</v>
      </c>
      <c r="I77" s="23">
        <f>'Dane ilościowe - sz. przedziało'!G32</f>
        <v>13</v>
      </c>
      <c r="J77" s="26">
        <f>'Dane ilościowe - sz. przedziało'!J32</f>
        <v>4.2715374999999964</v>
      </c>
    </row>
    <row r="78" spans="3:20">
      <c r="C78" s="8">
        <v>69</v>
      </c>
      <c r="E78" s="19">
        <v>45756</v>
      </c>
      <c r="F78" s="16">
        <v>4.2817999999999996</v>
      </c>
      <c r="I78" s="23">
        <f>'Dane ilościowe - sz. przedziało'!G33</f>
        <v>14</v>
      </c>
      <c r="J78" s="26">
        <f>'Dane ilościowe - sz. przedziało'!J33</f>
        <v>4.2821249999999962</v>
      </c>
    </row>
    <row r="79" spans="3:20">
      <c r="C79" s="8">
        <v>70</v>
      </c>
      <c r="E79" s="19">
        <v>45757</v>
      </c>
      <c r="F79" s="16">
        <v>4.2644000000000002</v>
      </c>
      <c r="I79" s="23">
        <f>'Dane ilościowe - sz. przedziało'!G34</f>
        <v>15</v>
      </c>
      <c r="J79" s="26">
        <f>'Dane ilościowe - sz. przedziało'!J34</f>
        <v>4.2927124999999959</v>
      </c>
    </row>
    <row r="80" spans="3:20">
      <c r="C80" s="8">
        <v>71</v>
      </c>
      <c r="E80" s="19">
        <v>45758</v>
      </c>
      <c r="F80" s="16">
        <v>4.2972000000000001</v>
      </c>
      <c r="I80" s="23">
        <f>'Dane ilościowe - sz. przedziało'!G35</f>
        <v>16</v>
      </c>
      <c r="J80" s="26">
        <f>'Dane ilościowe - sz. przedziało'!J35</f>
        <v>4.3032999999999957</v>
      </c>
    </row>
    <row r="81" spans="3:6">
      <c r="C81" s="8">
        <v>72</v>
      </c>
      <c r="E81" s="19">
        <v>45761</v>
      </c>
      <c r="F81" s="16">
        <v>4.2775999999999996</v>
      </c>
    </row>
    <row r="82" spans="3:6">
      <c r="C82" s="8">
        <v>73</v>
      </c>
      <c r="E82" s="19">
        <v>45762</v>
      </c>
      <c r="F82" s="16">
        <v>4.2766999999999999</v>
      </c>
    </row>
    <row r="83" spans="3:6">
      <c r="C83" s="8">
        <v>74</v>
      </c>
      <c r="E83" s="19">
        <v>45763</v>
      </c>
      <c r="F83" s="16">
        <v>4.3033000000000001</v>
      </c>
    </row>
    <row r="84" spans="3:6">
      <c r="C84" s="8">
        <v>75</v>
      </c>
      <c r="E84" s="19">
        <v>45764</v>
      </c>
      <c r="F84" s="16">
        <v>4.2878999999999996</v>
      </c>
    </row>
    <row r="85" spans="3:6">
      <c r="C85" s="8">
        <v>76</v>
      </c>
      <c r="E85" s="19">
        <v>45765</v>
      </c>
      <c r="F85" s="16">
        <v>4.2823000000000002</v>
      </c>
    </row>
    <row r="86" spans="3:6">
      <c r="C86" s="8">
        <v>77</v>
      </c>
      <c r="E86" s="19">
        <v>45769</v>
      </c>
      <c r="F86" s="16">
        <v>4.2801</v>
      </c>
    </row>
    <row r="87" spans="3:6">
      <c r="C87" s="8">
        <v>78</v>
      </c>
      <c r="E87" s="19">
        <v>45770</v>
      </c>
      <c r="F87" s="16">
        <v>4.2892999999999999</v>
      </c>
    </row>
    <row r="88" spans="3:6">
      <c r="C88" s="8">
        <v>79</v>
      </c>
      <c r="E88" s="19">
        <v>45771</v>
      </c>
      <c r="F88" s="16">
        <v>4.2789000000000001</v>
      </c>
    </row>
    <row r="89" spans="3:6">
      <c r="C89" s="8">
        <v>80</v>
      </c>
      <c r="E89" s="19">
        <v>45772</v>
      </c>
      <c r="F89" s="16">
        <v>4.2687999999999997</v>
      </c>
    </row>
    <row r="90" spans="3:6">
      <c r="C90" s="8">
        <v>81</v>
      </c>
      <c r="E90" s="19">
        <v>45775</v>
      </c>
      <c r="F90" s="16">
        <v>4.2766000000000002</v>
      </c>
    </row>
    <row r="91" spans="3:6">
      <c r="C91" s="8">
        <v>82</v>
      </c>
      <c r="E91" s="19">
        <v>45776</v>
      </c>
      <c r="F91" s="16">
        <v>4.2645999999999997</v>
      </c>
    </row>
    <row r="92" spans="3:6">
      <c r="C92" s="8">
        <v>83</v>
      </c>
      <c r="E92" s="19">
        <v>45777</v>
      </c>
      <c r="F92" s="16">
        <v>4.2778</v>
      </c>
    </row>
    <row r="93" spans="3:6">
      <c r="C93" s="8">
        <v>84</v>
      </c>
      <c r="D93" t="s">
        <v>25</v>
      </c>
      <c r="E93" s="19">
        <v>45779</v>
      </c>
      <c r="F93" s="16">
        <v>4.2750000000000004</v>
      </c>
    </row>
    <row r="94" spans="3:6">
      <c r="C94" s="8">
        <v>85</v>
      </c>
      <c r="E94" s="19">
        <v>45782</v>
      </c>
      <c r="F94" s="16">
        <v>4.2759999999999998</v>
      </c>
    </row>
    <row r="95" spans="3:6">
      <c r="C95" s="8">
        <v>86</v>
      </c>
      <c r="E95" s="19">
        <v>45783</v>
      </c>
      <c r="F95" s="16">
        <v>4.2805999999999997</v>
      </c>
    </row>
    <row r="96" spans="3:6">
      <c r="C96" s="8">
        <v>87</v>
      </c>
      <c r="E96" s="19">
        <v>45784</v>
      </c>
      <c r="F96" s="16">
        <v>4.2756999999999996</v>
      </c>
    </row>
    <row r="97" spans="3:6">
      <c r="C97" s="8">
        <v>88</v>
      </c>
      <c r="E97" s="19">
        <v>45785</v>
      </c>
      <c r="F97" s="16">
        <v>4.2713999999999999</v>
      </c>
    </row>
    <row r="98" spans="3:6">
      <c r="C98" s="8">
        <v>89</v>
      </c>
      <c r="E98" s="19">
        <v>45786</v>
      </c>
      <c r="F98" s="16">
        <v>4.2413999999999996</v>
      </c>
    </row>
    <row r="99" spans="3:6">
      <c r="C99" s="8">
        <v>90</v>
      </c>
      <c r="E99" s="19">
        <v>45789</v>
      </c>
      <c r="F99" s="16">
        <v>4.2336999999999998</v>
      </c>
    </row>
    <row r="100" spans="3:6">
      <c r="C100" s="8">
        <v>91</v>
      </c>
      <c r="E100" s="19">
        <v>45790</v>
      </c>
      <c r="F100" s="16">
        <v>4.2525000000000004</v>
      </c>
    </row>
    <row r="101" spans="3:6">
      <c r="C101" s="8">
        <v>92</v>
      </c>
      <c r="E101" s="19">
        <v>45791</v>
      </c>
      <c r="F101" s="16">
        <v>4.2454999999999998</v>
      </c>
    </row>
    <row r="102" spans="3:6">
      <c r="C102" s="8">
        <v>93</v>
      </c>
      <c r="E102" s="19">
        <v>45792</v>
      </c>
      <c r="F102" s="16">
        <v>4.2378</v>
      </c>
    </row>
    <row r="103" spans="3:6">
      <c r="C103" s="8">
        <v>94</v>
      </c>
      <c r="E103" s="19">
        <v>45793</v>
      </c>
      <c r="F103" s="16">
        <v>4.2392000000000003</v>
      </c>
    </row>
    <row r="104" spans="3:6">
      <c r="C104" s="8">
        <v>95</v>
      </c>
      <c r="E104" s="19">
        <v>45796</v>
      </c>
      <c r="F104" s="16">
        <v>4.2785000000000002</v>
      </c>
    </row>
    <row r="105" spans="3:6">
      <c r="C105" s="8">
        <v>96</v>
      </c>
      <c r="E105" s="19">
        <v>45797</v>
      </c>
      <c r="F105" s="16">
        <v>4.2496999999999998</v>
      </c>
    </row>
    <row r="106" spans="3:6">
      <c r="C106" s="8">
        <v>97</v>
      </c>
      <c r="E106" s="19">
        <v>45798</v>
      </c>
      <c r="F106" s="16">
        <v>4.2403000000000004</v>
      </c>
    </row>
    <row r="107" spans="3:6">
      <c r="C107" s="8">
        <v>98</v>
      </c>
      <c r="E107" s="19">
        <v>45799</v>
      </c>
      <c r="F107" s="16">
        <v>4.2446999999999999</v>
      </c>
    </row>
    <row r="108" spans="3:6">
      <c r="C108" s="8">
        <v>99</v>
      </c>
      <c r="E108" s="19">
        <v>45800</v>
      </c>
      <c r="F108" s="16">
        <v>4.2541000000000002</v>
      </c>
    </row>
    <row r="109" spans="3:6">
      <c r="C109" s="8">
        <v>100</v>
      </c>
      <c r="E109" s="19">
        <v>45803</v>
      </c>
      <c r="F109" s="16">
        <v>4.2514000000000003</v>
      </c>
    </row>
    <row r="110" spans="3:6">
      <c r="C110" s="8">
        <v>101</v>
      </c>
      <c r="E110" s="19">
        <v>45804</v>
      </c>
      <c r="F110" s="16">
        <v>4.2478999999999996</v>
      </c>
    </row>
    <row r="111" spans="3:6">
      <c r="C111" s="8">
        <v>102</v>
      </c>
      <c r="E111" s="19">
        <v>45805</v>
      </c>
      <c r="F111" s="16">
        <v>4.2446999999999999</v>
      </c>
    </row>
    <row r="112" spans="3:6">
      <c r="C112" s="8">
        <v>103</v>
      </c>
      <c r="E112" s="19">
        <v>45806</v>
      </c>
      <c r="F112" s="16">
        <v>4.2369000000000003</v>
      </c>
    </row>
    <row r="113" spans="3:6">
      <c r="C113" s="8">
        <v>104</v>
      </c>
      <c r="E113" s="19">
        <v>45807</v>
      </c>
      <c r="F113" s="16">
        <v>4.2507000000000001</v>
      </c>
    </row>
    <row r="114" spans="3:6">
      <c r="C114" s="8">
        <v>105</v>
      </c>
      <c r="D114" t="s">
        <v>26</v>
      </c>
      <c r="E114" s="19">
        <v>45810</v>
      </c>
      <c r="F114" s="16">
        <v>4.2577999999999996</v>
      </c>
    </row>
    <row r="115" spans="3:6">
      <c r="C115" s="8">
        <v>106</v>
      </c>
      <c r="E115" s="19">
        <v>45811</v>
      </c>
      <c r="F115" s="16">
        <v>4.2721</v>
      </c>
    </row>
    <row r="116" spans="3:6">
      <c r="C116" s="8">
        <v>107</v>
      </c>
      <c r="E116" s="19">
        <v>45812</v>
      </c>
      <c r="F116" s="16">
        <v>4.2778</v>
      </c>
    </row>
    <row r="117" spans="3:6">
      <c r="C117" s="8">
        <v>108</v>
      </c>
      <c r="E117" s="19">
        <v>45813</v>
      </c>
      <c r="F117" s="16">
        <v>4.2790999999999997</v>
      </c>
    </row>
    <row r="118" spans="3:6">
      <c r="C118" s="8">
        <v>109</v>
      </c>
      <c r="E118" s="19">
        <v>45814</v>
      </c>
      <c r="F118" s="16">
        <v>4.2881</v>
      </c>
    </row>
    <row r="119" spans="3:6">
      <c r="C119" s="8">
        <v>110</v>
      </c>
      <c r="E119" s="19">
        <v>45817</v>
      </c>
      <c r="F119" s="16">
        <v>4.2771999999999997</v>
      </c>
    </row>
    <row r="120" spans="3:6">
      <c r="C120" s="8">
        <v>111</v>
      </c>
      <c r="E120" s="19">
        <v>45818</v>
      </c>
      <c r="F120" s="16">
        <v>4.2610999999999999</v>
      </c>
    </row>
    <row r="121" spans="3:6">
      <c r="C121" s="8">
        <v>112</v>
      </c>
      <c r="E121" s="19">
        <v>45819</v>
      </c>
      <c r="F121" s="16">
        <v>4.2643000000000004</v>
      </c>
    </row>
    <row r="122" spans="3:6">
      <c r="C122" s="8">
        <v>113</v>
      </c>
      <c r="E122" s="19">
        <v>45820</v>
      </c>
      <c r="F122" s="16">
        <v>4.2630999999999997</v>
      </c>
    </row>
    <row r="123" spans="3:6">
      <c r="C123" s="8">
        <v>114</v>
      </c>
      <c r="E123" s="19">
        <v>45821</v>
      </c>
      <c r="F123" s="16">
        <v>4.2720000000000002</v>
      </c>
    </row>
    <row r="124" spans="3:6">
      <c r="C124" s="8">
        <v>115</v>
      </c>
      <c r="E124" s="19">
        <v>45824</v>
      </c>
      <c r="F124" s="16">
        <v>4.2611999999999997</v>
      </c>
    </row>
    <row r="125" spans="3:6">
      <c r="C125" s="8">
        <v>116</v>
      </c>
      <c r="E125" s="19">
        <v>45825</v>
      </c>
      <c r="F125" s="16">
        <v>4.2750000000000004</v>
      </c>
    </row>
    <row r="126" spans="3:6">
      <c r="C126" s="8">
        <v>117</v>
      </c>
      <c r="E126" s="19">
        <v>45826</v>
      </c>
      <c r="F126" s="16">
        <v>4.2717000000000001</v>
      </c>
    </row>
    <row r="127" spans="3:6">
      <c r="C127" s="8">
        <v>118</v>
      </c>
      <c r="E127" s="19">
        <v>45828</v>
      </c>
      <c r="F127" s="16">
        <v>4.2709000000000001</v>
      </c>
    </row>
    <row r="128" spans="3:6">
      <c r="C128" s="8">
        <v>119</v>
      </c>
      <c r="E128" s="19">
        <v>45831</v>
      </c>
      <c r="F128" s="16">
        <v>4.2727000000000004</v>
      </c>
    </row>
    <row r="129" spans="3:6">
      <c r="C129" s="8">
        <v>120</v>
      </c>
      <c r="E129" s="19">
        <v>45832</v>
      </c>
      <c r="F129" s="16">
        <v>4.2603999999999997</v>
      </c>
    </row>
    <row r="130" spans="3:6">
      <c r="C130" s="8">
        <v>121</v>
      </c>
      <c r="E130" s="19">
        <v>45833</v>
      </c>
      <c r="F130" s="16">
        <v>4.2478999999999996</v>
      </c>
    </row>
    <row r="131" spans="3:6">
      <c r="C131" s="8">
        <v>122</v>
      </c>
      <c r="E131" s="19">
        <v>45834</v>
      </c>
      <c r="F131" s="16">
        <v>4.2478999999999996</v>
      </c>
    </row>
    <row r="132" spans="3:6">
      <c r="C132" s="8">
        <v>123</v>
      </c>
      <c r="E132" s="19">
        <v>45835</v>
      </c>
      <c r="F132" s="16">
        <v>4.2362000000000002</v>
      </c>
    </row>
    <row r="133" spans="3:6">
      <c r="C133" s="8">
        <v>124</v>
      </c>
      <c r="E133" s="19">
        <v>45838</v>
      </c>
      <c r="F133" s="16">
        <v>4.2419000000000002</v>
      </c>
    </row>
    <row r="134" spans="3:6">
      <c r="C134" s="8">
        <v>125</v>
      </c>
      <c r="D134" t="s">
        <v>27</v>
      </c>
      <c r="E134" s="19">
        <v>45839</v>
      </c>
      <c r="F134" s="16">
        <v>4.2415000000000003</v>
      </c>
    </row>
    <row r="135" spans="3:6">
      <c r="C135" s="8">
        <v>126</v>
      </c>
      <c r="E135" s="19">
        <v>45840</v>
      </c>
      <c r="F135" s="16">
        <v>4.25</v>
      </c>
    </row>
    <row r="136" spans="3:6">
      <c r="C136" s="8">
        <v>127</v>
      </c>
      <c r="E136" s="19">
        <v>45841</v>
      </c>
      <c r="F136" s="16">
        <v>4.2633999999999999</v>
      </c>
    </row>
    <row r="137" spans="3:6">
      <c r="C137" s="8">
        <v>128</v>
      </c>
      <c r="E137" s="19">
        <v>45842</v>
      </c>
      <c r="F137" s="16">
        <v>4.2515000000000001</v>
      </c>
    </row>
    <row r="138" spans="3:6">
      <c r="C138" s="8">
        <v>129</v>
      </c>
      <c r="E138" s="19">
        <v>45845</v>
      </c>
      <c r="F138" s="16">
        <v>4.2523999999999997</v>
      </c>
    </row>
    <row r="139" spans="3:6">
      <c r="C139" s="8">
        <v>130</v>
      </c>
      <c r="E139" s="19">
        <v>45846</v>
      </c>
      <c r="F139" s="16">
        <v>4.2454999999999998</v>
      </c>
    </row>
    <row r="140" spans="3:6">
      <c r="C140" s="8">
        <v>131</v>
      </c>
      <c r="E140" s="19">
        <v>45847</v>
      </c>
      <c r="F140" s="16">
        <v>4.2398999999999996</v>
      </c>
    </row>
    <row r="141" spans="3:6">
      <c r="C141" s="8">
        <v>132</v>
      </c>
      <c r="E141" s="19">
        <v>45848</v>
      </c>
      <c r="F141" s="16">
        <v>4.2464000000000004</v>
      </c>
    </row>
    <row r="142" spans="3:6">
      <c r="C142" s="8">
        <v>133</v>
      </c>
      <c r="E142" s="19">
        <v>45849</v>
      </c>
      <c r="F142" s="16">
        <v>4.2563000000000004</v>
      </c>
    </row>
    <row r="143" spans="3:6">
      <c r="C143" s="8">
        <v>134</v>
      </c>
      <c r="E143" s="19">
        <v>45852</v>
      </c>
      <c r="F143" s="16">
        <v>4.2614000000000001</v>
      </c>
    </row>
    <row r="144" spans="3:6">
      <c r="C144" s="8">
        <v>135</v>
      </c>
      <c r="E144" s="19">
        <v>45853</v>
      </c>
      <c r="F144" s="16">
        <v>4.2538</v>
      </c>
    </row>
    <row r="145" spans="3:6">
      <c r="C145" s="8">
        <v>136</v>
      </c>
      <c r="E145" s="19">
        <v>45854</v>
      </c>
      <c r="F145" s="16">
        <v>4.2584999999999997</v>
      </c>
    </row>
    <row r="146" spans="3:6">
      <c r="C146" s="8">
        <v>137</v>
      </c>
      <c r="E146" s="19">
        <v>45855</v>
      </c>
      <c r="F146" s="16">
        <v>4.2558999999999996</v>
      </c>
    </row>
    <row r="147" spans="3:6">
      <c r="C147" s="8">
        <v>138</v>
      </c>
      <c r="E147" s="19">
        <v>45856</v>
      </c>
      <c r="F147" s="16">
        <v>4.2508999999999997</v>
      </c>
    </row>
    <row r="148" spans="3:6">
      <c r="C148" s="8">
        <v>139</v>
      </c>
      <c r="E148" s="19">
        <v>45859</v>
      </c>
      <c r="F148" s="16">
        <v>4.2445000000000004</v>
      </c>
    </row>
    <row r="149" spans="3:6">
      <c r="C149" s="8">
        <v>140</v>
      </c>
      <c r="E149" s="19">
        <v>45860</v>
      </c>
      <c r="F149" s="16">
        <v>4.2530999999999999</v>
      </c>
    </row>
    <row r="150" spans="3:6">
      <c r="C150" s="8">
        <v>141</v>
      </c>
      <c r="E150" s="19">
        <v>45861</v>
      </c>
      <c r="F150" s="16">
        <v>4.2544000000000004</v>
      </c>
    </row>
    <row r="151" spans="3:6">
      <c r="C151" s="8">
        <v>142</v>
      </c>
      <c r="E151" s="19">
        <v>45862</v>
      </c>
      <c r="F151" s="16">
        <v>4.2514000000000003</v>
      </c>
    </row>
    <row r="152" spans="3:6">
      <c r="C152" s="8">
        <v>143</v>
      </c>
      <c r="E152" s="19">
        <v>45863</v>
      </c>
      <c r="F152" s="16">
        <v>4.2544000000000004</v>
      </c>
    </row>
    <row r="153" spans="3:6">
      <c r="C153" s="8">
        <v>144</v>
      </c>
      <c r="E153" s="19">
        <v>45866</v>
      </c>
      <c r="F153" s="16">
        <v>4.2565</v>
      </c>
    </row>
    <row r="154" spans="3:6">
      <c r="C154" s="8">
        <v>145</v>
      </c>
      <c r="E154" s="19">
        <v>45867</v>
      </c>
      <c r="F154" s="16">
        <v>4.2736999999999998</v>
      </c>
    </row>
    <row r="155" spans="3:6">
      <c r="C155" s="8">
        <v>146</v>
      </c>
      <c r="E155" s="19">
        <v>45868</v>
      </c>
      <c r="F155" s="16">
        <v>4.2732000000000001</v>
      </c>
    </row>
    <row r="156" spans="3:6">
      <c r="C156" s="8">
        <v>147</v>
      </c>
      <c r="E156" s="19">
        <v>45869</v>
      </c>
      <c r="F156" s="16">
        <v>4.2660999999999998</v>
      </c>
    </row>
    <row r="157" spans="3:6">
      <c r="C157" s="8">
        <v>148</v>
      </c>
      <c r="D157" t="s">
        <v>28</v>
      </c>
      <c r="E157" s="19">
        <v>45870</v>
      </c>
      <c r="F157" s="16">
        <v>4.2812999999999999</v>
      </c>
    </row>
    <row r="158" spans="3:6">
      <c r="C158" s="8">
        <v>149</v>
      </c>
      <c r="E158" s="19">
        <v>45873</v>
      </c>
      <c r="F158" s="16">
        <v>4.2733999999999996</v>
      </c>
    </row>
    <row r="159" spans="3:6">
      <c r="C159" s="8">
        <v>150</v>
      </c>
      <c r="E159" s="19">
        <v>45874</v>
      </c>
      <c r="F159" s="16">
        <v>4.2763</v>
      </c>
    </row>
    <row r="160" spans="3:6">
      <c r="C160" s="8">
        <v>151</v>
      </c>
      <c r="E160" s="19">
        <v>45875</v>
      </c>
      <c r="F160" s="16">
        <v>4.282</v>
      </c>
    </row>
    <row r="161" spans="3:6">
      <c r="C161" s="8">
        <v>152</v>
      </c>
      <c r="E161" s="19">
        <v>45876</v>
      </c>
      <c r="F161" s="16">
        <v>4.2618</v>
      </c>
    </row>
    <row r="162" spans="3:6">
      <c r="C162" s="8">
        <v>153</v>
      </c>
      <c r="E162" s="19">
        <v>45877</v>
      </c>
      <c r="F162" s="16">
        <v>4.2565999999999997</v>
      </c>
    </row>
    <row r="163" spans="3:6">
      <c r="C163" s="8">
        <v>154</v>
      </c>
      <c r="E163" s="19">
        <v>45880</v>
      </c>
      <c r="F163" s="16">
        <v>4.2533000000000003</v>
      </c>
    </row>
    <row r="164" spans="3:6">
      <c r="C164" s="8">
        <v>155</v>
      </c>
      <c r="E164" s="19">
        <v>45881</v>
      </c>
      <c r="F164" s="16">
        <v>4.2625999999999999</v>
      </c>
    </row>
    <row r="165" spans="3:6">
      <c r="C165" s="8">
        <v>156</v>
      </c>
      <c r="E165" s="19">
        <v>45882</v>
      </c>
      <c r="F165" s="16">
        <v>4.2586000000000004</v>
      </c>
    </row>
    <row r="166" spans="3:6">
      <c r="C166" s="8">
        <v>157</v>
      </c>
      <c r="E166" s="19">
        <v>45883</v>
      </c>
      <c r="F166" s="16">
        <v>4.2638999999999996</v>
      </c>
    </row>
    <row r="167" spans="3:6">
      <c r="C167" s="8">
        <v>158</v>
      </c>
      <c r="E167" s="19">
        <v>45887</v>
      </c>
      <c r="F167" s="16">
        <v>4.2557999999999998</v>
      </c>
    </row>
    <row r="168" spans="3:6">
      <c r="C168" s="8">
        <v>159</v>
      </c>
      <c r="E168" s="19">
        <v>45888</v>
      </c>
      <c r="F168" s="16">
        <v>4.242</v>
      </c>
    </row>
    <row r="169" spans="3:6">
      <c r="C169" s="8">
        <v>160</v>
      </c>
      <c r="E169" s="19">
        <v>45889</v>
      </c>
      <c r="F169" s="16">
        <v>4.2523999999999997</v>
      </c>
    </row>
    <row r="170" spans="3:6">
      <c r="C170" s="8">
        <v>161</v>
      </c>
      <c r="E170" s="19">
        <v>45890</v>
      </c>
      <c r="F170" s="16">
        <v>4.2521000000000004</v>
      </c>
    </row>
    <row r="171" spans="3:6">
      <c r="C171" s="8">
        <v>162</v>
      </c>
      <c r="E171" s="19">
        <v>45891</v>
      </c>
      <c r="F171" s="16">
        <v>4.2670000000000003</v>
      </c>
    </row>
    <row r="172" spans="3:6">
      <c r="C172" s="8">
        <v>163</v>
      </c>
      <c r="E172" s="19">
        <v>45894</v>
      </c>
      <c r="F172" s="16">
        <v>4.2626999999999997</v>
      </c>
    </row>
    <row r="173" spans="3:6">
      <c r="C173" s="8">
        <v>164</v>
      </c>
      <c r="E173" s="19">
        <v>45895</v>
      </c>
      <c r="F173" s="16">
        <v>4.2656999999999998</v>
      </c>
    </row>
    <row r="174" spans="3:6">
      <c r="C174" s="8">
        <v>165</v>
      </c>
      <c r="E174" s="19">
        <v>45896</v>
      </c>
      <c r="F174" s="16">
        <v>4.2638999999999996</v>
      </c>
    </row>
    <row r="175" spans="3:6">
      <c r="C175" s="8">
        <v>166</v>
      </c>
      <c r="E175" s="19">
        <v>45897</v>
      </c>
      <c r="F175" s="16">
        <v>4.2680999999999996</v>
      </c>
    </row>
    <row r="176" spans="3:6">
      <c r="C176" s="8">
        <v>167</v>
      </c>
      <c r="E176" s="19">
        <v>45898</v>
      </c>
      <c r="F176" s="16">
        <v>4.2683999999999997</v>
      </c>
    </row>
    <row r="177" spans="3:6">
      <c r="C177" s="8">
        <v>168</v>
      </c>
      <c r="D177" t="s">
        <v>29</v>
      </c>
      <c r="E177" s="19">
        <v>45901</v>
      </c>
      <c r="F177" s="16">
        <v>4.2573999999999996</v>
      </c>
    </row>
    <row r="178" spans="3:6">
      <c r="C178" s="8">
        <v>169</v>
      </c>
      <c r="E178" s="19">
        <v>45902</v>
      </c>
      <c r="F178" s="16">
        <v>4.2651000000000003</v>
      </c>
    </row>
    <row r="179" spans="3:6">
      <c r="C179" s="8">
        <v>170</v>
      </c>
      <c r="E179" s="19">
        <v>45903</v>
      </c>
      <c r="F179" s="16">
        <v>4.2588999999999997</v>
      </c>
    </row>
    <row r="180" spans="3:6">
      <c r="C180" s="8">
        <v>171</v>
      </c>
      <c r="E180" s="19">
        <v>45904</v>
      </c>
      <c r="F180" s="16">
        <v>4.2553000000000001</v>
      </c>
    </row>
    <row r="181" spans="3:6">
      <c r="C181" s="8">
        <v>172</v>
      </c>
      <c r="E181" s="19">
        <v>45905</v>
      </c>
      <c r="F181" s="16">
        <v>4.2476000000000003</v>
      </c>
    </row>
    <row r="182" spans="3:6">
      <c r="C182" s="8">
        <v>173</v>
      </c>
      <c r="E182" s="19">
        <v>45908</v>
      </c>
      <c r="F182" s="16">
        <v>4.2484000000000002</v>
      </c>
    </row>
    <row r="183" spans="3:6">
      <c r="C183" s="8">
        <v>174</v>
      </c>
      <c r="E183" s="19">
        <v>45909</v>
      </c>
      <c r="F183" s="16">
        <v>4.2539999999999996</v>
      </c>
    </row>
    <row r="184" spans="3:6">
      <c r="C184" s="8">
        <v>175</v>
      </c>
      <c r="E184" s="19">
        <v>45910</v>
      </c>
      <c r="F184" s="16">
        <v>4.2603999999999997</v>
      </c>
    </row>
    <row r="185" spans="3:6">
      <c r="C185" s="8">
        <v>176</v>
      </c>
      <c r="E185" s="19">
        <v>45911</v>
      </c>
      <c r="F185" s="16">
        <v>4.2625999999999999</v>
      </c>
    </row>
    <row r="186" spans="3:6">
      <c r="C186" s="8">
        <v>177</v>
      </c>
      <c r="E186" s="19">
        <v>45912</v>
      </c>
      <c r="F186" s="16">
        <v>4.2592999999999996</v>
      </c>
    </row>
    <row r="187" spans="3:6">
      <c r="C187" s="8">
        <v>178</v>
      </c>
      <c r="E187" s="19">
        <v>45915</v>
      </c>
      <c r="F187" s="16">
        <v>4.2476000000000003</v>
      </c>
    </row>
    <row r="188" spans="3:6">
      <c r="C188" s="8">
        <v>179</v>
      </c>
      <c r="E188" s="19">
        <v>45916</v>
      </c>
      <c r="F188" s="16">
        <v>4.2504</v>
      </c>
    </row>
    <row r="189" spans="3:6">
      <c r="C189" s="8">
        <v>180</v>
      </c>
      <c r="E189" s="19">
        <v>45917</v>
      </c>
      <c r="F189" s="16">
        <v>4.2558999999999996</v>
      </c>
    </row>
    <row r="190" spans="3:6">
      <c r="C190" s="8">
        <v>181</v>
      </c>
      <c r="E190" s="19">
        <v>45918</v>
      </c>
      <c r="F190" s="16">
        <v>4.2564000000000002</v>
      </c>
    </row>
    <row r="191" spans="3:6">
      <c r="C191" s="8">
        <v>182</v>
      </c>
      <c r="E191" s="19">
        <v>45919</v>
      </c>
      <c r="F191" s="16">
        <v>4.2666000000000004</v>
      </c>
    </row>
    <row r="192" spans="3:6">
      <c r="C192" s="8">
        <v>183</v>
      </c>
      <c r="E192" s="19">
        <v>45922</v>
      </c>
      <c r="F192" s="16">
        <v>4.2645</v>
      </c>
    </row>
    <row r="193" spans="3:6">
      <c r="C193" s="8">
        <v>184</v>
      </c>
      <c r="E193" s="19">
        <v>45923</v>
      </c>
      <c r="F193" s="16">
        <v>4.2552000000000003</v>
      </c>
    </row>
    <row r="194" spans="3:6">
      <c r="C194" s="8">
        <v>185</v>
      </c>
      <c r="E194" s="19">
        <v>45924</v>
      </c>
      <c r="F194" s="16">
        <v>4.2675999999999998</v>
      </c>
    </row>
    <row r="195" spans="3:6">
      <c r="C195" s="8">
        <v>186</v>
      </c>
      <c r="E195" s="19">
        <v>45925</v>
      </c>
      <c r="F195" s="16">
        <v>4.2618999999999998</v>
      </c>
    </row>
    <row r="196" spans="3:6">
      <c r="C196" s="8">
        <v>187</v>
      </c>
      <c r="E196" s="19">
        <v>45926</v>
      </c>
      <c r="F196" s="16">
        <v>4.2667999999999999</v>
      </c>
    </row>
    <row r="197" spans="3:6">
      <c r="C197" s="8">
        <v>188</v>
      </c>
      <c r="E197" s="19">
        <v>45929</v>
      </c>
      <c r="F197" s="16">
        <v>4.2687999999999997</v>
      </c>
    </row>
    <row r="198" spans="3:6">
      <c r="C198" s="8">
        <v>189</v>
      </c>
      <c r="E198" s="19">
        <v>45930</v>
      </c>
      <c r="F198" s="16">
        <v>4.2691999999999997</v>
      </c>
    </row>
    <row r="199" spans="3:6">
      <c r="C199" s="8">
        <v>190</v>
      </c>
      <c r="D199" t="s">
        <v>30</v>
      </c>
      <c r="E199" s="19">
        <v>45931</v>
      </c>
      <c r="F199" s="16">
        <v>4.2586000000000004</v>
      </c>
    </row>
    <row r="200" spans="3:6">
      <c r="C200" s="8">
        <v>191</v>
      </c>
      <c r="E200" s="19">
        <v>45932</v>
      </c>
      <c r="F200" s="16">
        <v>4.2560000000000002</v>
      </c>
    </row>
    <row r="201" spans="3:6">
      <c r="C201" s="8">
        <v>192</v>
      </c>
      <c r="E201" s="19">
        <v>45933</v>
      </c>
      <c r="F201" s="16">
        <v>4.2558999999999996</v>
      </c>
    </row>
    <row r="202" spans="3:6">
      <c r="C202" s="8">
        <v>193</v>
      </c>
      <c r="E202" s="19">
        <v>45936</v>
      </c>
      <c r="F202" s="16">
        <v>4.2521000000000004</v>
      </c>
    </row>
    <row r="203" spans="3:6">
      <c r="C203" s="8">
        <v>194</v>
      </c>
      <c r="E203" s="19">
        <v>45937</v>
      </c>
      <c r="F203" s="16">
        <v>4.2558999999999996</v>
      </c>
    </row>
    <row r="204" spans="3:6">
      <c r="C204" s="8">
        <v>195</v>
      </c>
      <c r="E204" s="19">
        <v>45938</v>
      </c>
      <c r="F204" s="16">
        <v>4.2533000000000003</v>
      </c>
    </row>
    <row r="205" spans="3:6">
      <c r="C205" s="8">
        <v>196</v>
      </c>
      <c r="E205" s="19">
        <v>45939</v>
      </c>
      <c r="F205" s="16">
        <v>4.2568999999999999</v>
      </c>
    </row>
    <row r="206" spans="3:6">
      <c r="C206" s="8">
        <v>197</v>
      </c>
      <c r="E206" s="19">
        <v>45940</v>
      </c>
      <c r="F206" s="16">
        <v>4.2583000000000002</v>
      </c>
    </row>
    <row r="207" spans="3:6">
      <c r="C207" s="8">
        <v>198</v>
      </c>
      <c r="E207" s="19">
        <v>45943</v>
      </c>
      <c r="F207" s="16">
        <v>4.2591999999999999</v>
      </c>
    </row>
    <row r="208" spans="3:6">
      <c r="C208" s="8">
        <v>199</v>
      </c>
      <c r="E208" s="19">
        <v>45944</v>
      </c>
      <c r="F208" s="16">
        <v>4.2645</v>
      </c>
    </row>
    <row r="209" spans="3:6">
      <c r="C209" s="8">
        <v>200</v>
      </c>
      <c r="E209" s="19">
        <v>45945</v>
      </c>
      <c r="F209" s="16">
        <v>4.2556000000000003</v>
      </c>
    </row>
    <row r="210" spans="3:6">
      <c r="C210" s="8">
        <v>201</v>
      </c>
      <c r="E210" s="19">
        <v>45946</v>
      </c>
      <c r="F210" s="16">
        <v>4.2516999999999996</v>
      </c>
    </row>
    <row r="211" spans="3:6">
      <c r="C211" s="8">
        <v>202</v>
      </c>
      <c r="E211" s="19">
        <v>45947</v>
      </c>
      <c r="F211" s="16">
        <v>4.2565</v>
      </c>
    </row>
    <row r="212" spans="3:6">
      <c r="C212" s="8">
        <v>203</v>
      </c>
      <c r="E212" s="19">
        <v>45950</v>
      </c>
      <c r="F212" s="16">
        <v>4.2396000000000003</v>
      </c>
    </row>
    <row r="213" spans="3:6">
      <c r="C213" s="8">
        <v>204</v>
      </c>
      <c r="E213" s="19">
        <v>45951</v>
      </c>
      <c r="F213" s="16">
        <v>4.2392000000000003</v>
      </c>
    </row>
    <row r="214" spans="3:6">
      <c r="C214" s="8">
        <v>205</v>
      </c>
      <c r="E214" s="19">
        <v>45952</v>
      </c>
      <c r="F214" s="16">
        <v>4.2438000000000002</v>
      </c>
    </row>
    <row r="215" spans="3:6">
      <c r="C215" s="8">
        <v>206</v>
      </c>
      <c r="E215" s="19">
        <v>45953</v>
      </c>
      <c r="F215" s="16">
        <v>4.2347000000000001</v>
      </c>
    </row>
    <row r="216" spans="3:6">
      <c r="C216" s="8">
        <v>207</v>
      </c>
      <c r="E216" s="19">
        <v>45954</v>
      </c>
      <c r="F216" s="16">
        <v>4.2352999999999996</v>
      </c>
    </row>
    <row r="217" spans="3:6">
      <c r="C217" s="8">
        <v>208</v>
      </c>
      <c r="E217" s="19">
        <v>45957</v>
      </c>
      <c r="F217" s="16">
        <v>4.2352999999999996</v>
      </c>
    </row>
    <row r="218" spans="3:6">
      <c r="C218" s="8">
        <v>209</v>
      </c>
      <c r="E218" s="19">
        <v>45958</v>
      </c>
      <c r="F218" s="16">
        <v>4.2344999999999997</v>
      </c>
    </row>
    <row r="219" spans="3:6">
      <c r="C219" s="8">
        <v>210</v>
      </c>
      <c r="E219" s="19">
        <v>45959</v>
      </c>
      <c r="F219" s="16">
        <v>4.2374000000000001</v>
      </c>
    </row>
    <row r="220" spans="3:6">
      <c r="C220" s="8">
        <v>211</v>
      </c>
      <c r="E220" s="19">
        <v>45960</v>
      </c>
      <c r="F220" s="16">
        <v>4.2424999999999997</v>
      </c>
    </row>
    <row r="221" spans="3:6">
      <c r="C221" s="8">
        <v>212</v>
      </c>
      <c r="E221" s="19">
        <v>45961</v>
      </c>
      <c r="F221" s="16">
        <v>4.2542999999999997</v>
      </c>
    </row>
    <row r="222" spans="3:6">
      <c r="C222" s="8">
        <v>213</v>
      </c>
      <c r="D222" t="s">
        <v>31</v>
      </c>
      <c r="E222" s="19">
        <v>45964</v>
      </c>
      <c r="F222" s="16">
        <v>4.2526999999999999</v>
      </c>
    </row>
    <row r="223" spans="3:6">
      <c r="C223" s="8">
        <v>214</v>
      </c>
      <c r="E223" s="19">
        <v>45965</v>
      </c>
      <c r="F223" s="16">
        <v>4.2575000000000003</v>
      </c>
    </row>
    <row r="224" spans="3:6">
      <c r="C224" s="8">
        <v>215</v>
      </c>
      <c r="E224" s="19">
        <v>45966</v>
      </c>
      <c r="F224" s="16">
        <v>4.2596999999999996</v>
      </c>
    </row>
    <row r="225" spans="3:6">
      <c r="C225" s="8">
        <v>216</v>
      </c>
      <c r="E225" s="19">
        <v>45967</v>
      </c>
      <c r="F225" s="16">
        <v>4.2565999999999997</v>
      </c>
    </row>
    <row r="226" spans="3:6">
      <c r="C226" s="8">
        <v>217</v>
      </c>
      <c r="E226" s="19">
        <v>45968</v>
      </c>
      <c r="F226" s="16">
        <v>4.2483000000000004</v>
      </c>
    </row>
    <row r="227" spans="3:6">
      <c r="C227" s="8">
        <v>218</v>
      </c>
      <c r="E227" s="19">
        <v>45971</v>
      </c>
      <c r="F227" s="16">
        <v>4.2351000000000001</v>
      </c>
    </row>
    <row r="228" spans="3:6">
      <c r="C228" s="8">
        <v>219</v>
      </c>
      <c r="E228" s="19">
        <v>45973</v>
      </c>
      <c r="F228" s="16">
        <v>4.2312000000000003</v>
      </c>
    </row>
    <row r="229" spans="3:6">
      <c r="C229" s="8">
        <v>220</v>
      </c>
      <c r="E229" s="19">
        <v>45974</v>
      </c>
      <c r="F229" s="16">
        <v>4.2304000000000004</v>
      </c>
    </row>
    <row r="230" spans="3:6">
      <c r="C230" s="8">
        <v>221</v>
      </c>
      <c r="E230" s="19">
        <v>45975</v>
      </c>
      <c r="F230" s="16">
        <v>4.2274000000000003</v>
      </c>
    </row>
    <row r="231" spans="3:6">
      <c r="C231" s="8">
        <v>222</v>
      </c>
      <c r="E231" s="19">
        <v>45978</v>
      </c>
      <c r="F231" s="16">
        <v>4.2230999999999996</v>
      </c>
    </row>
    <row r="232" spans="3:6">
      <c r="C232" s="8">
        <v>223</v>
      </c>
      <c r="E232" s="19">
        <v>45979</v>
      </c>
      <c r="F232" s="16">
        <v>4.2331000000000003</v>
      </c>
    </row>
    <row r="233" spans="3:6">
      <c r="C233" s="8">
        <v>224</v>
      </c>
      <c r="E233" s="19">
        <v>45980</v>
      </c>
      <c r="F233" s="16">
        <v>4.2423999999999999</v>
      </c>
    </row>
    <row r="234" spans="3:6">
      <c r="C234" s="8">
        <v>225</v>
      </c>
      <c r="E234" s="19">
        <v>45981</v>
      </c>
      <c r="F234" s="16">
        <v>4.2289000000000003</v>
      </c>
    </row>
    <row r="235" spans="3:6">
      <c r="C235" s="8">
        <v>226</v>
      </c>
      <c r="E235" s="19">
        <v>45982</v>
      </c>
      <c r="F235" s="16">
        <v>4.2488999999999999</v>
      </c>
    </row>
    <row r="236" spans="3:6">
      <c r="C236" s="8">
        <v>227</v>
      </c>
      <c r="E236" s="19">
        <v>45985</v>
      </c>
      <c r="F236" s="16">
        <v>4.2344999999999997</v>
      </c>
    </row>
    <row r="237" spans="3:6">
      <c r="C237" s="8">
        <v>228</v>
      </c>
      <c r="E237" s="19">
        <v>45986</v>
      </c>
      <c r="F237" s="16">
        <v>4.2301000000000002</v>
      </c>
    </row>
    <row r="238" spans="3:6">
      <c r="C238" s="8">
        <v>229</v>
      </c>
      <c r="E238" s="19">
        <v>45987</v>
      </c>
      <c r="F238" s="16">
        <v>4.2329999999999997</v>
      </c>
    </row>
    <row r="239" spans="3:6">
      <c r="C239" s="8">
        <v>230</v>
      </c>
      <c r="E239" s="19">
        <v>45988</v>
      </c>
      <c r="F239" s="16">
        <v>4.2270000000000003</v>
      </c>
    </row>
    <row r="240" spans="3:6">
      <c r="C240" s="8">
        <v>231</v>
      </c>
      <c r="E240" s="19">
        <v>45989</v>
      </c>
      <c r="F240" s="16">
        <v>4.2369000000000003</v>
      </c>
    </row>
    <row r="241" spans="3:6">
      <c r="C241" s="8">
        <v>232</v>
      </c>
      <c r="D241" t="s">
        <v>32</v>
      </c>
      <c r="E241" s="19">
        <v>45992</v>
      </c>
      <c r="F241" s="16">
        <v>4.2286000000000001</v>
      </c>
    </row>
    <row r="242" spans="3:6">
      <c r="C242" s="8">
        <v>233</v>
      </c>
      <c r="E242" s="19">
        <v>45993</v>
      </c>
      <c r="F242" s="16">
        <v>4.2389999999999999</v>
      </c>
    </row>
    <row r="243" spans="3:6">
      <c r="C243" s="8">
        <v>234</v>
      </c>
      <c r="E243" s="19">
        <v>45994</v>
      </c>
      <c r="F243" s="16">
        <v>4.2312000000000003</v>
      </c>
    </row>
    <row r="244" spans="3:6">
      <c r="C244" s="8">
        <v>235</v>
      </c>
      <c r="E244" s="19">
        <v>45995</v>
      </c>
      <c r="F244" s="16">
        <v>4.2298999999999998</v>
      </c>
    </row>
    <row r="245" spans="3:6">
      <c r="C245" s="8">
        <v>236</v>
      </c>
      <c r="E245" s="19">
        <v>45996</v>
      </c>
      <c r="F245" s="16">
        <v>4.2321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cars</vt:lpstr>
      <vt:lpstr>Dane ilościowe dyskretne</vt:lpstr>
      <vt:lpstr>Dane ilościowe - sz.czasowy</vt:lpstr>
      <vt:lpstr>Dane ilościowe - sz. przedziało</vt:lpstr>
      <vt:lpstr>Skrzynka wąsy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Główczyk</dc:creator>
  <cp:lastModifiedBy>ewelina.niewczas@outlook.com</cp:lastModifiedBy>
  <dcterms:created xsi:type="dcterms:W3CDTF">2025-11-28T12:34:59Z</dcterms:created>
  <dcterms:modified xsi:type="dcterms:W3CDTF">2026-04-05T21:07:01Z</dcterms:modified>
</cp:coreProperties>
</file>