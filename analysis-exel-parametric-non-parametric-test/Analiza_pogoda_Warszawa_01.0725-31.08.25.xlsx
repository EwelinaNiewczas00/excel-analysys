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welinan/Downloads/"/>
    </mc:Choice>
  </mc:AlternateContent>
  <xr:revisionPtr revIDLastSave="0" documentId="8_{76F585B6-E061-774C-BF67-37306F9378C6}" xr6:coauthVersionLast="47" xr6:coauthVersionMax="47" xr10:uidLastSave="{00000000-0000-0000-0000-000000000000}"/>
  <bookViews>
    <workbookView xWindow="28800" yWindow="600" windowWidth="68800" windowHeight="28200" xr2:uid="{9B7ACD97-81AC-E449-9040-19808556553F}"/>
  </bookViews>
  <sheets>
    <sheet name="Dane obliczenia Tmax Warszawa" sheetId="1" r:id="rId1"/>
    <sheet name="dan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7" i="1" l="1"/>
  <c r="E16" i="1"/>
  <c r="E13" i="1"/>
  <c r="E14" i="1" s="1"/>
  <c r="E12" i="1"/>
  <c r="E11" i="1"/>
  <c r="E10" i="1"/>
  <c r="E6" i="1"/>
  <c r="E3" i="1"/>
  <c r="E7" i="1"/>
  <c r="E5" i="1"/>
</calcChain>
</file>

<file path=xl/sharedStrings.xml><?xml version="1.0" encoding="utf-8"?>
<sst xmlns="http://schemas.openxmlformats.org/spreadsheetml/2006/main" count="33" uniqueCount="32">
  <si>
    <t>Data</t>
  </si>
  <si>
    <t>średnia/suma</t>
  </si>
  <si>
    <t>Max</t>
  </si>
  <si>
    <t>Min</t>
  </si>
  <si>
    <t>Mediana</t>
  </si>
  <si>
    <t>Minimum</t>
  </si>
  <si>
    <t>Maksimum</t>
  </si>
  <si>
    <t>N</t>
  </si>
  <si>
    <t>Średnia/przeciętna temperatura</t>
  </si>
  <si>
    <t>Domiinanta/moda</t>
  </si>
  <si>
    <t>Miary zmienności</t>
  </si>
  <si>
    <t>Rozstęp</t>
  </si>
  <si>
    <t xml:space="preserve">Odchylenie standardowe </t>
  </si>
  <si>
    <t xml:space="preserve">Współczynnik zmienności </t>
  </si>
  <si>
    <t>Kształt rozkładu</t>
  </si>
  <si>
    <t>Najzimniejszy dzień</t>
  </si>
  <si>
    <t>Najcieplejszy dzień</t>
  </si>
  <si>
    <t>Róznica między skrajnymi temperaturami</t>
  </si>
  <si>
    <t>Różnica od średniej (im mniej tym stabilniej)</t>
  </si>
  <si>
    <t>Zmienność jest mała</t>
  </si>
  <si>
    <t>Ile próbek pomiaru</t>
  </si>
  <si>
    <t>Przeciętna temp.</t>
  </si>
  <si>
    <t>Środkowa wartość</t>
  </si>
  <si>
    <t>Najcześciej występująca temp.</t>
  </si>
  <si>
    <t>K&lt;0 rozkład spłaszczony</t>
  </si>
  <si>
    <t>(platykurtyczny)</t>
  </si>
  <si>
    <t>𝐴&gt;0 prawostronna asymetria</t>
  </si>
  <si>
    <t>Skośność A</t>
  </si>
  <si>
    <t>Kurtoza K</t>
  </si>
  <si>
    <t>Tmax [°C]</t>
  </si>
  <si>
    <t>Pogoda maxymalna Warszawa od  01-07.2025-31.08.2025 Tmax [°C]</t>
  </si>
  <si>
    <t>https://dane.meteomodel.pl/#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</si>
</sst>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charset val="238"/>
      <scheme val="minor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sz val="12"/>
      <color rgb="FFFFFFFF"/>
      <name val="Arial"/>
      <family val="2"/>
    </font>
    <font>
      <u/>
      <sz val="12"/>
      <color theme="10"/>
      <name val="Aptos Narrow"/>
      <family val="2"/>
      <charset val="238"/>
      <scheme val="minor"/>
    </font>
    <font>
      <sz val="11"/>
      <color rgb="FF000000"/>
      <name val="Arial"/>
      <family val="2"/>
    </font>
    <font>
      <sz val="12"/>
      <color rgb="FFFF0000"/>
      <name val="Arial"/>
      <family val="2"/>
    </font>
    <font>
      <sz val="12"/>
      <color theme="6"/>
      <name val="Arial"/>
      <family val="2"/>
    </font>
    <font>
      <sz val="11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3">
    <xf numFmtId="0" fontId="0" fillId="0" borderId="0" xfId="0"/>
    <xf numFmtId="0" fontId="1" fillId="0" borderId="0" xfId="0" applyFont="1"/>
    <xf numFmtId="14" fontId="0" fillId="0" borderId="0" xfId="0" applyNumberFormat="1"/>
    <xf numFmtId="14" fontId="4" fillId="0" borderId="0" xfId="1" applyNumberFormat="1"/>
    <xf numFmtId="16" fontId="2" fillId="0" borderId="0" xfId="0" applyNumberFormat="1" applyFont="1"/>
    <xf numFmtId="0" fontId="3" fillId="0" borderId="0" xfId="0" applyFont="1"/>
    <xf numFmtId="16" fontId="3" fillId="0" borderId="0" xfId="0" applyNumberFormat="1" applyFont="1"/>
    <xf numFmtId="0" fontId="2" fillId="0" borderId="0" xfId="0" applyFont="1"/>
    <xf numFmtId="2" fontId="1" fillId="0" borderId="0" xfId="0" applyNumberFormat="1" applyFont="1"/>
    <xf numFmtId="2" fontId="2" fillId="0" borderId="0" xfId="0" applyNumberFormat="1" applyFont="1"/>
    <xf numFmtId="2" fontId="0" fillId="0" borderId="0" xfId="0" applyNumberFormat="1"/>
    <xf numFmtId="2" fontId="3" fillId="0" borderId="0" xfId="0" applyNumberFormat="1" applyFont="1"/>
    <xf numFmtId="0" fontId="5" fillId="0" borderId="0" xfId="0" applyFont="1"/>
    <xf numFmtId="0" fontId="5" fillId="0" borderId="1" xfId="0" applyFont="1" applyBorder="1"/>
    <xf numFmtId="10" fontId="2" fillId="0" borderId="0" xfId="0" applyNumberFormat="1" applyFont="1"/>
    <xf numFmtId="0" fontId="6" fillId="0" borderId="0" xfId="0" applyFont="1"/>
    <xf numFmtId="2" fontId="6" fillId="0" borderId="0" xfId="0" applyNumberFormat="1" applyFont="1"/>
    <xf numFmtId="0" fontId="7" fillId="0" borderId="0" xfId="0" applyFont="1"/>
    <xf numFmtId="16" fontId="6" fillId="0" borderId="0" xfId="0" applyNumberFormat="1" applyFont="1"/>
    <xf numFmtId="14" fontId="1" fillId="0" borderId="0" xfId="0" applyNumberFormat="1" applyFont="1"/>
    <xf numFmtId="0" fontId="4" fillId="0" borderId="0" xfId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</cellXfs>
  <cellStyles count="2">
    <cellStyle name="Hiperłącze" xfId="1" builtinId="8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Tmax</a:t>
            </a:r>
            <a:r>
              <a:rPr lang="en-US" baseline="0"/>
              <a:t> Warszawa 01.07.2025-31.08.2025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'Dane obliczenia Tmax Warszawa'!$B$2</c:f>
              <c:strCache>
                <c:ptCount val="1"/>
                <c:pt idx="0">
                  <c:v>Tmax [°C]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'Dane obliczenia Tmax Warszawa'!$A$3:$A$64</c:f>
              <c:numCache>
                <c:formatCode>m/d/yy</c:formatCode>
                <c:ptCount val="62"/>
                <c:pt idx="0">
                  <c:v>45839</c:v>
                </c:pt>
                <c:pt idx="1">
                  <c:v>45840</c:v>
                </c:pt>
                <c:pt idx="2">
                  <c:v>45841</c:v>
                </c:pt>
                <c:pt idx="3">
                  <c:v>45842</c:v>
                </c:pt>
                <c:pt idx="4">
                  <c:v>45843</c:v>
                </c:pt>
                <c:pt idx="5">
                  <c:v>45844</c:v>
                </c:pt>
                <c:pt idx="6">
                  <c:v>45845</c:v>
                </c:pt>
                <c:pt idx="7">
                  <c:v>45846</c:v>
                </c:pt>
                <c:pt idx="8">
                  <c:v>45847</c:v>
                </c:pt>
                <c:pt idx="9">
                  <c:v>45848</c:v>
                </c:pt>
                <c:pt idx="10">
                  <c:v>45849</c:v>
                </c:pt>
                <c:pt idx="11">
                  <c:v>45850</c:v>
                </c:pt>
                <c:pt idx="12">
                  <c:v>45851</c:v>
                </c:pt>
                <c:pt idx="13">
                  <c:v>45852</c:v>
                </c:pt>
                <c:pt idx="14">
                  <c:v>45853</c:v>
                </c:pt>
                <c:pt idx="15">
                  <c:v>45854</c:v>
                </c:pt>
                <c:pt idx="16">
                  <c:v>45855</c:v>
                </c:pt>
                <c:pt idx="17">
                  <c:v>45856</c:v>
                </c:pt>
                <c:pt idx="18">
                  <c:v>45857</c:v>
                </c:pt>
                <c:pt idx="19">
                  <c:v>45858</c:v>
                </c:pt>
                <c:pt idx="20">
                  <c:v>45859</c:v>
                </c:pt>
                <c:pt idx="21">
                  <c:v>45860</c:v>
                </c:pt>
                <c:pt idx="22">
                  <c:v>45861</c:v>
                </c:pt>
                <c:pt idx="23">
                  <c:v>45862</c:v>
                </c:pt>
                <c:pt idx="24">
                  <c:v>45863</c:v>
                </c:pt>
                <c:pt idx="25">
                  <c:v>45864</c:v>
                </c:pt>
                <c:pt idx="26">
                  <c:v>45865</c:v>
                </c:pt>
                <c:pt idx="27">
                  <c:v>45866</c:v>
                </c:pt>
                <c:pt idx="28">
                  <c:v>45867</c:v>
                </c:pt>
                <c:pt idx="29">
                  <c:v>45868</c:v>
                </c:pt>
                <c:pt idx="30">
                  <c:v>45869</c:v>
                </c:pt>
                <c:pt idx="31">
                  <c:v>45870</c:v>
                </c:pt>
                <c:pt idx="32">
                  <c:v>45871</c:v>
                </c:pt>
                <c:pt idx="33">
                  <c:v>45872</c:v>
                </c:pt>
                <c:pt idx="34">
                  <c:v>45873</c:v>
                </c:pt>
                <c:pt idx="35">
                  <c:v>45874</c:v>
                </c:pt>
                <c:pt idx="36">
                  <c:v>45875</c:v>
                </c:pt>
                <c:pt idx="37">
                  <c:v>45876</c:v>
                </c:pt>
                <c:pt idx="38">
                  <c:v>45877</c:v>
                </c:pt>
                <c:pt idx="39">
                  <c:v>45878</c:v>
                </c:pt>
                <c:pt idx="40">
                  <c:v>45879</c:v>
                </c:pt>
                <c:pt idx="41">
                  <c:v>45880</c:v>
                </c:pt>
                <c:pt idx="42">
                  <c:v>45881</c:v>
                </c:pt>
                <c:pt idx="43">
                  <c:v>45882</c:v>
                </c:pt>
                <c:pt idx="44">
                  <c:v>45883</c:v>
                </c:pt>
                <c:pt idx="45">
                  <c:v>45884</c:v>
                </c:pt>
                <c:pt idx="46">
                  <c:v>45885</c:v>
                </c:pt>
                <c:pt idx="47">
                  <c:v>45886</c:v>
                </c:pt>
                <c:pt idx="48">
                  <c:v>45887</c:v>
                </c:pt>
                <c:pt idx="49">
                  <c:v>45888</c:v>
                </c:pt>
                <c:pt idx="50">
                  <c:v>45889</c:v>
                </c:pt>
                <c:pt idx="51">
                  <c:v>45890</c:v>
                </c:pt>
                <c:pt idx="52">
                  <c:v>45891</c:v>
                </c:pt>
                <c:pt idx="53">
                  <c:v>45892</c:v>
                </c:pt>
                <c:pt idx="54">
                  <c:v>45893</c:v>
                </c:pt>
                <c:pt idx="55">
                  <c:v>45894</c:v>
                </c:pt>
                <c:pt idx="56">
                  <c:v>45895</c:v>
                </c:pt>
                <c:pt idx="57">
                  <c:v>45896</c:v>
                </c:pt>
                <c:pt idx="58">
                  <c:v>45897</c:v>
                </c:pt>
                <c:pt idx="59">
                  <c:v>45898</c:v>
                </c:pt>
                <c:pt idx="60">
                  <c:v>45899</c:v>
                </c:pt>
                <c:pt idx="61">
                  <c:v>45900</c:v>
                </c:pt>
              </c:numCache>
            </c:numRef>
          </c:cat>
          <c:val>
            <c:numRef>
              <c:f>'Dane obliczenia Tmax Warszawa'!$B$3:$B$64</c:f>
              <c:numCache>
                <c:formatCode>0.00</c:formatCode>
                <c:ptCount val="62"/>
                <c:pt idx="0">
                  <c:v>26.6</c:v>
                </c:pt>
                <c:pt idx="1">
                  <c:v>32.200000000000003</c:v>
                </c:pt>
                <c:pt idx="2">
                  <c:v>36.5</c:v>
                </c:pt>
                <c:pt idx="3">
                  <c:v>24.2</c:v>
                </c:pt>
                <c:pt idx="4">
                  <c:v>27.6</c:v>
                </c:pt>
                <c:pt idx="5">
                  <c:v>31.8</c:v>
                </c:pt>
                <c:pt idx="6">
                  <c:v>24.3</c:v>
                </c:pt>
                <c:pt idx="7">
                  <c:v>26.2</c:v>
                </c:pt>
                <c:pt idx="8">
                  <c:v>18.7</c:v>
                </c:pt>
                <c:pt idx="9">
                  <c:v>20.7</c:v>
                </c:pt>
                <c:pt idx="10">
                  <c:v>19.100000000000001</c:v>
                </c:pt>
                <c:pt idx="11">
                  <c:v>19.8</c:v>
                </c:pt>
                <c:pt idx="12">
                  <c:v>24.1</c:v>
                </c:pt>
                <c:pt idx="13">
                  <c:v>27.7</c:v>
                </c:pt>
                <c:pt idx="14">
                  <c:v>27.2</c:v>
                </c:pt>
                <c:pt idx="15">
                  <c:v>23.4</c:v>
                </c:pt>
                <c:pt idx="16">
                  <c:v>23.5</c:v>
                </c:pt>
                <c:pt idx="17">
                  <c:v>25.5</c:v>
                </c:pt>
                <c:pt idx="18">
                  <c:v>24.5</c:v>
                </c:pt>
                <c:pt idx="19">
                  <c:v>27.1</c:v>
                </c:pt>
                <c:pt idx="20">
                  <c:v>29.6</c:v>
                </c:pt>
                <c:pt idx="21">
                  <c:v>26.3</c:v>
                </c:pt>
                <c:pt idx="22">
                  <c:v>25</c:v>
                </c:pt>
                <c:pt idx="23">
                  <c:v>26</c:v>
                </c:pt>
                <c:pt idx="24">
                  <c:v>26</c:v>
                </c:pt>
                <c:pt idx="25">
                  <c:v>29.4</c:v>
                </c:pt>
                <c:pt idx="26">
                  <c:v>25.3</c:v>
                </c:pt>
                <c:pt idx="27">
                  <c:v>24.9</c:v>
                </c:pt>
                <c:pt idx="28">
                  <c:v>22.5</c:v>
                </c:pt>
                <c:pt idx="29">
                  <c:v>24.3</c:v>
                </c:pt>
                <c:pt idx="30">
                  <c:v>22.1</c:v>
                </c:pt>
                <c:pt idx="31">
                  <c:v>23.6</c:v>
                </c:pt>
                <c:pt idx="32">
                  <c:v>25.7</c:v>
                </c:pt>
                <c:pt idx="33">
                  <c:v>28.1</c:v>
                </c:pt>
                <c:pt idx="34">
                  <c:v>24.4</c:v>
                </c:pt>
                <c:pt idx="35">
                  <c:v>26.7</c:v>
                </c:pt>
                <c:pt idx="36">
                  <c:v>23.9</c:v>
                </c:pt>
                <c:pt idx="37">
                  <c:v>23.6</c:v>
                </c:pt>
                <c:pt idx="38">
                  <c:v>26.8</c:v>
                </c:pt>
                <c:pt idx="39">
                  <c:v>29.9</c:v>
                </c:pt>
                <c:pt idx="40">
                  <c:v>29.9</c:v>
                </c:pt>
                <c:pt idx="41">
                  <c:v>24.7</c:v>
                </c:pt>
                <c:pt idx="42">
                  <c:v>27.7</c:v>
                </c:pt>
                <c:pt idx="43">
                  <c:v>31.1</c:v>
                </c:pt>
                <c:pt idx="44">
                  <c:v>32.299999999999997</c:v>
                </c:pt>
                <c:pt idx="45">
                  <c:v>32.4</c:v>
                </c:pt>
                <c:pt idx="46">
                  <c:v>30.3</c:v>
                </c:pt>
                <c:pt idx="47">
                  <c:v>24.4</c:v>
                </c:pt>
                <c:pt idx="48">
                  <c:v>22</c:v>
                </c:pt>
                <c:pt idx="49">
                  <c:v>24.8</c:v>
                </c:pt>
                <c:pt idx="50">
                  <c:v>26.2</c:v>
                </c:pt>
                <c:pt idx="51">
                  <c:v>22.8</c:v>
                </c:pt>
                <c:pt idx="52">
                  <c:v>22.5</c:v>
                </c:pt>
                <c:pt idx="53">
                  <c:v>19.2</c:v>
                </c:pt>
                <c:pt idx="54">
                  <c:v>19.8</c:v>
                </c:pt>
                <c:pt idx="55">
                  <c:v>19.100000000000001</c:v>
                </c:pt>
                <c:pt idx="56">
                  <c:v>20.3</c:v>
                </c:pt>
                <c:pt idx="57">
                  <c:v>24.7</c:v>
                </c:pt>
                <c:pt idx="58">
                  <c:v>32.1</c:v>
                </c:pt>
                <c:pt idx="59">
                  <c:v>31</c:v>
                </c:pt>
                <c:pt idx="60">
                  <c:v>29</c:v>
                </c:pt>
                <c:pt idx="61">
                  <c:v>24.1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1C-2743-922A-4A9408D361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82811648"/>
        <c:axId val="1282813360"/>
      </c:lineChart>
      <c:dateAx>
        <c:axId val="12828116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100"/>
                  <a:t>Data [dd-ms-rok]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82813360"/>
        <c:crosses val="autoZero"/>
        <c:auto val="1"/>
        <c:lblOffset val="100"/>
        <c:baseTimeUnit val="days"/>
      </c:dateAx>
      <c:valAx>
        <c:axId val="1282813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100"/>
                  <a:t>Temperatura </a:t>
                </a:r>
                <a:r>
                  <a:rPr lang="pl-PL" sz="1100" b="0" i="0" u="none" strike="noStrike">
                    <a:effectLst/>
                  </a:rPr>
                  <a:t>Tmax [°C] </a:t>
                </a:r>
              </a:p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defRPr>
                </a:pPr>
                <a:r>
                  <a:rPr lang="pl-PL"/>
                  <a:t>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82811648"/>
        <c:crosses val="autoZero"/>
        <c:crossBetween val="between"/>
        <c:majorUnit val="1"/>
        <c:minorUnit val="0.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0">
          <a:schemeClr val="accent1">
            <a:lumMod val="5000"/>
            <a:lumOff val="95000"/>
          </a:schemeClr>
        </a:gs>
        <a:gs pos="69000">
          <a:schemeClr val="accent1">
            <a:lumMod val="45000"/>
            <a:lumOff val="55000"/>
          </a:schemeClr>
        </a:gs>
        <a:gs pos="43000">
          <a:schemeClr val="accent1">
            <a:lumMod val="0"/>
            <a:lumOff val="100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2006600</xdr:colOff>
      <xdr:row>26</xdr:row>
      <xdr:rowOff>63500</xdr:rowOff>
    </xdr:from>
    <xdr:to>
      <xdr:col>21</xdr:col>
      <xdr:colOff>114300</xdr:colOff>
      <xdr:row>63</xdr:row>
      <xdr:rowOff>0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1A6A51A1-3865-4FFB-4301-51D1A1FF22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304800</xdr:colOff>
      <xdr:row>2</xdr:row>
      <xdr:rowOff>101600</xdr:rowOff>
    </xdr:to>
    <xdr:sp macro="" textlink="">
      <xdr:nvSpPr>
        <xdr:cNvPr id="1025" name="AutoShape 1" descr="tm">
          <a:extLst>
            <a:ext uri="{FF2B5EF4-FFF2-40B4-BE49-F238E27FC236}">
              <a16:creationId xmlns:a16="http://schemas.microsoft.com/office/drawing/2014/main" id="{5F6AE76A-94A2-31FC-5E9A-8561488E404B}"/>
            </a:ext>
          </a:extLst>
        </xdr:cNvPr>
        <xdr:cNvSpPr>
          <a:spLocks noChangeAspect="1" noChangeArrowheads="1"/>
        </xdr:cNvSpPr>
      </xdr:nvSpPr>
      <xdr:spPr bwMode="auto">
        <a:xfrm>
          <a:off x="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101600</xdr:rowOff>
    </xdr:to>
    <xdr:sp macro="" textlink="">
      <xdr:nvSpPr>
        <xdr:cNvPr id="1026" name="AutoShape 2" descr="tx">
          <a:extLst>
            <a:ext uri="{FF2B5EF4-FFF2-40B4-BE49-F238E27FC236}">
              <a16:creationId xmlns:a16="http://schemas.microsoft.com/office/drawing/2014/main" id="{5D2245CF-3DA5-D40F-174E-F7DF0A54F9A3}"/>
            </a:ext>
          </a:extLst>
        </xdr:cNvPr>
        <xdr:cNvSpPr>
          <a:spLocks noChangeAspect="1" noChangeArrowheads="1"/>
        </xdr:cNvSpPr>
      </xdr:nvSpPr>
      <xdr:spPr bwMode="auto">
        <a:xfrm>
          <a:off x="8255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2</xdr:row>
      <xdr:rowOff>101600</xdr:rowOff>
    </xdr:to>
    <xdr:sp macro="" textlink="">
      <xdr:nvSpPr>
        <xdr:cNvPr id="1027" name="AutoShape 3" descr="tn">
          <a:extLst>
            <a:ext uri="{FF2B5EF4-FFF2-40B4-BE49-F238E27FC236}">
              <a16:creationId xmlns:a16="http://schemas.microsoft.com/office/drawing/2014/main" id="{7DE6F04E-BCD0-3AEE-621E-629F03A6116B}"/>
            </a:ext>
          </a:extLst>
        </xdr:cNvPr>
        <xdr:cNvSpPr>
          <a:spLocks noChangeAspect="1" noChangeArrowheads="1"/>
        </xdr:cNvSpPr>
      </xdr:nvSpPr>
      <xdr:spPr bwMode="auto">
        <a:xfrm>
          <a:off x="16510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304800</xdr:colOff>
      <xdr:row>2</xdr:row>
      <xdr:rowOff>101600</xdr:rowOff>
    </xdr:to>
    <xdr:sp macro="" textlink="">
      <xdr:nvSpPr>
        <xdr:cNvPr id="1028" name="AutoShape 4" descr="tng">
          <a:extLst>
            <a:ext uri="{FF2B5EF4-FFF2-40B4-BE49-F238E27FC236}">
              <a16:creationId xmlns:a16="http://schemas.microsoft.com/office/drawing/2014/main" id="{63E7F36C-3F65-6376-E754-5010133C7D9E}"/>
            </a:ext>
          </a:extLst>
        </xdr:cNvPr>
        <xdr:cNvSpPr>
          <a:spLocks noChangeAspect="1" noChangeArrowheads="1"/>
        </xdr:cNvSpPr>
      </xdr:nvSpPr>
      <xdr:spPr bwMode="auto">
        <a:xfrm>
          <a:off x="24765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304800</xdr:colOff>
      <xdr:row>2</xdr:row>
      <xdr:rowOff>101600</xdr:rowOff>
    </xdr:to>
    <xdr:sp macro="" textlink="">
      <xdr:nvSpPr>
        <xdr:cNvPr id="1029" name="AutoShape 5" descr="rh">
          <a:extLst>
            <a:ext uri="{FF2B5EF4-FFF2-40B4-BE49-F238E27FC236}">
              <a16:creationId xmlns:a16="http://schemas.microsoft.com/office/drawing/2014/main" id="{5564699D-A6C3-030D-E26D-872357CA69A1}"/>
            </a:ext>
          </a:extLst>
        </xdr:cNvPr>
        <xdr:cNvSpPr>
          <a:spLocks noChangeAspect="1" noChangeArrowheads="1"/>
        </xdr:cNvSpPr>
      </xdr:nvSpPr>
      <xdr:spPr bwMode="auto">
        <a:xfrm>
          <a:off x="46355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304800</xdr:colOff>
      <xdr:row>2</xdr:row>
      <xdr:rowOff>101600</xdr:rowOff>
    </xdr:to>
    <xdr:sp macro="" textlink="">
      <xdr:nvSpPr>
        <xdr:cNvPr id="1030" name="AutoShape 6" descr="vapp">
          <a:extLst>
            <a:ext uri="{FF2B5EF4-FFF2-40B4-BE49-F238E27FC236}">
              <a16:creationId xmlns:a16="http://schemas.microsoft.com/office/drawing/2014/main" id="{26F1EB6D-72F5-B88F-513E-91B3FEFB28F8}"/>
            </a:ext>
          </a:extLst>
        </xdr:cNvPr>
        <xdr:cNvSpPr>
          <a:spLocks noChangeAspect="1" noChangeArrowheads="1"/>
        </xdr:cNvSpPr>
      </xdr:nvSpPr>
      <xdr:spPr bwMode="auto">
        <a:xfrm>
          <a:off x="54610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304800</xdr:colOff>
      <xdr:row>2</xdr:row>
      <xdr:rowOff>101600</xdr:rowOff>
    </xdr:to>
    <xdr:sp macro="" textlink="">
      <xdr:nvSpPr>
        <xdr:cNvPr id="1031" name="AutoShape 7" descr="cloud_cover">
          <a:extLst>
            <a:ext uri="{FF2B5EF4-FFF2-40B4-BE49-F238E27FC236}">
              <a16:creationId xmlns:a16="http://schemas.microsoft.com/office/drawing/2014/main" id="{A0360F2E-EBFA-69EF-121A-3A9D75F4E69F}"/>
            </a:ext>
          </a:extLst>
        </xdr:cNvPr>
        <xdr:cNvSpPr>
          <a:spLocks noChangeAspect="1" noChangeArrowheads="1"/>
        </xdr:cNvSpPr>
      </xdr:nvSpPr>
      <xdr:spPr bwMode="auto">
        <a:xfrm>
          <a:off x="62865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304800</xdr:colOff>
      <xdr:row>2</xdr:row>
      <xdr:rowOff>101600</xdr:rowOff>
    </xdr:to>
    <xdr:sp macro="" textlink="">
      <xdr:nvSpPr>
        <xdr:cNvPr id="1032" name="AutoShape 8" descr="wind_speed">
          <a:extLst>
            <a:ext uri="{FF2B5EF4-FFF2-40B4-BE49-F238E27FC236}">
              <a16:creationId xmlns:a16="http://schemas.microsoft.com/office/drawing/2014/main" id="{DEEF2167-C092-5A9F-ECCA-3DA980165425}"/>
            </a:ext>
          </a:extLst>
        </xdr:cNvPr>
        <xdr:cNvSpPr>
          <a:spLocks noChangeAspect="1" noChangeArrowheads="1"/>
        </xdr:cNvSpPr>
      </xdr:nvSpPr>
      <xdr:spPr bwMode="auto">
        <a:xfrm>
          <a:off x="71120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304800</xdr:colOff>
      <xdr:row>2</xdr:row>
      <xdr:rowOff>101600</xdr:rowOff>
    </xdr:to>
    <xdr:sp macro="" textlink="">
      <xdr:nvSpPr>
        <xdr:cNvPr id="1033" name="AutoShape 9" descr="ff10_time">
          <a:extLst>
            <a:ext uri="{FF2B5EF4-FFF2-40B4-BE49-F238E27FC236}">
              <a16:creationId xmlns:a16="http://schemas.microsoft.com/office/drawing/2014/main" id="{75BC64F5-6DC8-1B39-9887-95906EEF2CF2}"/>
            </a:ext>
          </a:extLst>
        </xdr:cNvPr>
        <xdr:cNvSpPr>
          <a:spLocks noChangeAspect="1" noChangeArrowheads="1"/>
        </xdr:cNvSpPr>
      </xdr:nvSpPr>
      <xdr:spPr bwMode="auto">
        <a:xfrm>
          <a:off x="79375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304800</xdr:colOff>
      <xdr:row>2</xdr:row>
      <xdr:rowOff>101600</xdr:rowOff>
    </xdr:to>
    <xdr:sp macro="" textlink="">
      <xdr:nvSpPr>
        <xdr:cNvPr id="1034" name="AutoShape 10" descr="ff15_time">
          <a:extLst>
            <a:ext uri="{FF2B5EF4-FFF2-40B4-BE49-F238E27FC236}">
              <a16:creationId xmlns:a16="http://schemas.microsoft.com/office/drawing/2014/main" id="{D15341BA-762F-D0FF-7F77-B071EC5C4F6B}"/>
            </a:ext>
          </a:extLst>
        </xdr:cNvPr>
        <xdr:cNvSpPr>
          <a:spLocks noChangeAspect="1" noChangeArrowheads="1"/>
        </xdr:cNvSpPr>
      </xdr:nvSpPr>
      <xdr:spPr bwMode="auto">
        <a:xfrm>
          <a:off x="87630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</xdr:row>
      <xdr:rowOff>0</xdr:rowOff>
    </xdr:from>
    <xdr:to>
      <xdr:col>10</xdr:col>
      <xdr:colOff>304800</xdr:colOff>
      <xdr:row>2</xdr:row>
      <xdr:rowOff>101600</xdr:rowOff>
    </xdr:to>
    <xdr:sp macro="" textlink="">
      <xdr:nvSpPr>
        <xdr:cNvPr id="1035" name="AutoShape 11" descr="mslp">
          <a:extLst>
            <a:ext uri="{FF2B5EF4-FFF2-40B4-BE49-F238E27FC236}">
              <a16:creationId xmlns:a16="http://schemas.microsoft.com/office/drawing/2014/main" id="{27F6F6DD-C7FF-856C-9FD8-8FC199B6E81C}"/>
            </a:ext>
          </a:extLst>
        </xdr:cNvPr>
        <xdr:cNvSpPr>
          <a:spLocks noChangeAspect="1" noChangeArrowheads="1"/>
        </xdr:cNvSpPr>
      </xdr:nvSpPr>
      <xdr:spPr bwMode="auto">
        <a:xfrm>
          <a:off x="95885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</xdr:row>
      <xdr:rowOff>0</xdr:rowOff>
    </xdr:from>
    <xdr:to>
      <xdr:col>11</xdr:col>
      <xdr:colOff>304800</xdr:colOff>
      <xdr:row>2</xdr:row>
      <xdr:rowOff>101600</xdr:rowOff>
    </xdr:to>
    <xdr:sp macro="" textlink="">
      <xdr:nvSpPr>
        <xdr:cNvPr id="1036" name="AutoShape 12" descr="ppp">
          <a:extLst>
            <a:ext uri="{FF2B5EF4-FFF2-40B4-BE49-F238E27FC236}">
              <a16:creationId xmlns:a16="http://schemas.microsoft.com/office/drawing/2014/main" id="{340C0604-AEEA-DBA6-E900-164680503580}"/>
            </a:ext>
          </a:extLst>
        </xdr:cNvPr>
        <xdr:cNvSpPr>
          <a:spLocks noChangeAspect="1" noChangeArrowheads="1"/>
        </xdr:cNvSpPr>
      </xdr:nvSpPr>
      <xdr:spPr bwMode="auto">
        <a:xfrm>
          <a:off x="104140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12</xdr:col>
      <xdr:colOff>0</xdr:colOff>
      <xdr:row>1</xdr:row>
      <xdr:rowOff>0</xdr:rowOff>
    </xdr:from>
    <xdr:to>
      <xdr:col>12</xdr:col>
      <xdr:colOff>304800</xdr:colOff>
      <xdr:row>2</xdr:row>
      <xdr:rowOff>101600</xdr:rowOff>
    </xdr:to>
    <xdr:sp macro="" textlink="">
      <xdr:nvSpPr>
        <xdr:cNvPr id="1037" name="AutoShape 13" descr="prcp">
          <a:extLst>
            <a:ext uri="{FF2B5EF4-FFF2-40B4-BE49-F238E27FC236}">
              <a16:creationId xmlns:a16="http://schemas.microsoft.com/office/drawing/2014/main" id="{82FE8E93-2D54-64E7-7D24-B301F2A00B0C}"/>
            </a:ext>
          </a:extLst>
        </xdr:cNvPr>
        <xdr:cNvSpPr>
          <a:spLocks noChangeAspect="1" noChangeArrowheads="1"/>
        </xdr:cNvSpPr>
      </xdr:nvSpPr>
      <xdr:spPr bwMode="auto">
        <a:xfrm>
          <a:off x="112395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</xdr:row>
      <xdr:rowOff>0</xdr:rowOff>
    </xdr:from>
    <xdr:to>
      <xdr:col>13</xdr:col>
      <xdr:colOff>304800</xdr:colOff>
      <xdr:row>2</xdr:row>
      <xdr:rowOff>101600</xdr:rowOff>
    </xdr:to>
    <xdr:sp macro="" textlink="">
      <xdr:nvSpPr>
        <xdr:cNvPr id="1038" name="AutoShape 14" descr="snow_depth">
          <a:extLst>
            <a:ext uri="{FF2B5EF4-FFF2-40B4-BE49-F238E27FC236}">
              <a16:creationId xmlns:a16="http://schemas.microsoft.com/office/drawing/2014/main" id="{634971B9-E4E9-4E26-7CC6-F8266CBD7043}"/>
            </a:ext>
          </a:extLst>
        </xdr:cNvPr>
        <xdr:cNvSpPr>
          <a:spLocks noChangeAspect="1" noChangeArrowheads="1"/>
        </xdr:cNvSpPr>
      </xdr:nvSpPr>
      <xdr:spPr bwMode="auto">
        <a:xfrm>
          <a:off x="120650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304800</xdr:colOff>
      <xdr:row>2</xdr:row>
      <xdr:rowOff>101600</xdr:rowOff>
    </xdr:to>
    <xdr:sp macro="" textlink="">
      <xdr:nvSpPr>
        <xdr:cNvPr id="1039" name="AutoShape 15" descr="snow_water">
          <a:extLst>
            <a:ext uri="{FF2B5EF4-FFF2-40B4-BE49-F238E27FC236}">
              <a16:creationId xmlns:a16="http://schemas.microsoft.com/office/drawing/2014/main" id="{8B9A235B-287E-EE90-3FF4-1D180DC447B1}"/>
            </a:ext>
          </a:extLst>
        </xdr:cNvPr>
        <xdr:cNvSpPr>
          <a:spLocks noChangeAspect="1" noChangeArrowheads="1"/>
        </xdr:cNvSpPr>
      </xdr:nvSpPr>
      <xdr:spPr bwMode="auto">
        <a:xfrm>
          <a:off x="128905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0</xdr:colOff>
      <xdr:row>1</xdr:row>
      <xdr:rowOff>0</xdr:rowOff>
    </xdr:from>
    <xdr:to>
      <xdr:col>15</xdr:col>
      <xdr:colOff>304800</xdr:colOff>
      <xdr:row>2</xdr:row>
      <xdr:rowOff>101600</xdr:rowOff>
    </xdr:to>
    <xdr:sp macro="" textlink="">
      <xdr:nvSpPr>
        <xdr:cNvPr id="1040" name="AutoShape 16" descr="sunshine">
          <a:extLst>
            <a:ext uri="{FF2B5EF4-FFF2-40B4-BE49-F238E27FC236}">
              <a16:creationId xmlns:a16="http://schemas.microsoft.com/office/drawing/2014/main" id="{CD08D8A4-7660-38F8-2C0D-5CCC4BBCB3F4}"/>
            </a:ext>
          </a:extLst>
        </xdr:cNvPr>
        <xdr:cNvSpPr>
          <a:spLocks noChangeAspect="1" noChangeArrowheads="1"/>
        </xdr:cNvSpPr>
      </xdr:nvSpPr>
      <xdr:spPr bwMode="auto">
        <a:xfrm>
          <a:off x="137160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</xdr:col>
      <xdr:colOff>0</xdr:colOff>
      <xdr:row>1</xdr:row>
      <xdr:rowOff>0</xdr:rowOff>
    </xdr:from>
    <xdr:to>
      <xdr:col>16</xdr:col>
      <xdr:colOff>304800</xdr:colOff>
      <xdr:row>2</xdr:row>
      <xdr:rowOff>101600</xdr:rowOff>
    </xdr:to>
    <xdr:sp macro="" textlink="">
      <xdr:nvSpPr>
        <xdr:cNvPr id="1041" name="AutoShape 17" descr="ra_time">
          <a:extLst>
            <a:ext uri="{FF2B5EF4-FFF2-40B4-BE49-F238E27FC236}">
              <a16:creationId xmlns:a16="http://schemas.microsoft.com/office/drawing/2014/main" id="{D7D114E2-DFB8-E567-2717-31C1F0D9672C}"/>
            </a:ext>
          </a:extLst>
        </xdr:cNvPr>
        <xdr:cNvSpPr>
          <a:spLocks noChangeAspect="1" noChangeArrowheads="1"/>
        </xdr:cNvSpPr>
      </xdr:nvSpPr>
      <xdr:spPr bwMode="auto">
        <a:xfrm>
          <a:off x="145415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17</xdr:col>
      <xdr:colOff>0</xdr:colOff>
      <xdr:row>1</xdr:row>
      <xdr:rowOff>0</xdr:rowOff>
    </xdr:from>
    <xdr:to>
      <xdr:col>17</xdr:col>
      <xdr:colOff>304800</xdr:colOff>
      <xdr:row>2</xdr:row>
      <xdr:rowOff>101600</xdr:rowOff>
    </xdr:to>
    <xdr:sp macro="" textlink="">
      <xdr:nvSpPr>
        <xdr:cNvPr id="1042" name="AutoShape 18" descr="sn_time">
          <a:extLst>
            <a:ext uri="{FF2B5EF4-FFF2-40B4-BE49-F238E27FC236}">
              <a16:creationId xmlns:a16="http://schemas.microsoft.com/office/drawing/2014/main" id="{67D3F32F-EB04-522B-F3EE-B3E0977E2C60}"/>
            </a:ext>
          </a:extLst>
        </xdr:cNvPr>
        <xdr:cNvSpPr>
          <a:spLocks noChangeAspect="1" noChangeArrowheads="1"/>
        </xdr:cNvSpPr>
      </xdr:nvSpPr>
      <xdr:spPr bwMode="auto">
        <a:xfrm>
          <a:off x="153670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18</xdr:col>
      <xdr:colOff>0</xdr:colOff>
      <xdr:row>1</xdr:row>
      <xdr:rowOff>0</xdr:rowOff>
    </xdr:from>
    <xdr:to>
      <xdr:col>18</xdr:col>
      <xdr:colOff>304800</xdr:colOff>
      <xdr:row>2</xdr:row>
      <xdr:rowOff>101600</xdr:rowOff>
    </xdr:to>
    <xdr:sp macro="" textlink="">
      <xdr:nvSpPr>
        <xdr:cNvPr id="1043" name="AutoShape 19" descr="rasn_time">
          <a:extLst>
            <a:ext uri="{FF2B5EF4-FFF2-40B4-BE49-F238E27FC236}">
              <a16:creationId xmlns:a16="http://schemas.microsoft.com/office/drawing/2014/main" id="{BDA19A86-8F01-1551-4A9E-6A5582514457}"/>
            </a:ext>
          </a:extLst>
        </xdr:cNvPr>
        <xdr:cNvSpPr>
          <a:spLocks noChangeAspect="1" noChangeArrowheads="1"/>
        </xdr:cNvSpPr>
      </xdr:nvSpPr>
      <xdr:spPr bwMode="auto">
        <a:xfrm>
          <a:off x="161925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19</xdr:col>
      <xdr:colOff>0</xdr:colOff>
      <xdr:row>1</xdr:row>
      <xdr:rowOff>0</xdr:rowOff>
    </xdr:from>
    <xdr:to>
      <xdr:col>19</xdr:col>
      <xdr:colOff>304800</xdr:colOff>
      <xdr:row>2</xdr:row>
      <xdr:rowOff>101600</xdr:rowOff>
    </xdr:to>
    <xdr:sp macro="" textlink="">
      <xdr:nvSpPr>
        <xdr:cNvPr id="1044" name="AutoShape 20" descr="fo_time">
          <a:extLst>
            <a:ext uri="{FF2B5EF4-FFF2-40B4-BE49-F238E27FC236}">
              <a16:creationId xmlns:a16="http://schemas.microsoft.com/office/drawing/2014/main" id="{3B8DFD5F-567B-1734-0451-604C187E20D8}"/>
            </a:ext>
          </a:extLst>
        </xdr:cNvPr>
        <xdr:cNvSpPr>
          <a:spLocks noChangeAspect="1" noChangeArrowheads="1"/>
        </xdr:cNvSpPr>
      </xdr:nvSpPr>
      <xdr:spPr bwMode="auto">
        <a:xfrm>
          <a:off x="170180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1</xdr:row>
      <xdr:rowOff>0</xdr:rowOff>
    </xdr:from>
    <xdr:to>
      <xdr:col>20</xdr:col>
      <xdr:colOff>304800</xdr:colOff>
      <xdr:row>2</xdr:row>
      <xdr:rowOff>101600</xdr:rowOff>
    </xdr:to>
    <xdr:sp macro="" textlink="">
      <xdr:nvSpPr>
        <xdr:cNvPr id="1045" name="AutoShape 21" descr="dew_time">
          <a:extLst>
            <a:ext uri="{FF2B5EF4-FFF2-40B4-BE49-F238E27FC236}">
              <a16:creationId xmlns:a16="http://schemas.microsoft.com/office/drawing/2014/main" id="{0B1D7C27-C141-4D7A-71AF-FE2627A21E08}"/>
            </a:ext>
          </a:extLst>
        </xdr:cNvPr>
        <xdr:cNvSpPr>
          <a:spLocks noChangeAspect="1" noChangeArrowheads="1"/>
        </xdr:cNvSpPr>
      </xdr:nvSpPr>
      <xdr:spPr bwMode="auto">
        <a:xfrm>
          <a:off x="178435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21</xdr:col>
      <xdr:colOff>0</xdr:colOff>
      <xdr:row>1</xdr:row>
      <xdr:rowOff>0</xdr:rowOff>
    </xdr:from>
    <xdr:to>
      <xdr:col>21</xdr:col>
      <xdr:colOff>304800</xdr:colOff>
      <xdr:row>2</xdr:row>
      <xdr:rowOff>101600</xdr:rowOff>
    </xdr:to>
    <xdr:sp macro="" textlink="">
      <xdr:nvSpPr>
        <xdr:cNvPr id="1046" name="AutoShape 22" descr="frost_time">
          <a:extLst>
            <a:ext uri="{FF2B5EF4-FFF2-40B4-BE49-F238E27FC236}">
              <a16:creationId xmlns:a16="http://schemas.microsoft.com/office/drawing/2014/main" id="{A9D54AAB-894B-16E0-6A2B-4ECDEBF57ED4}"/>
            </a:ext>
          </a:extLst>
        </xdr:cNvPr>
        <xdr:cNvSpPr>
          <a:spLocks noChangeAspect="1" noChangeArrowheads="1"/>
        </xdr:cNvSpPr>
      </xdr:nvSpPr>
      <xdr:spPr bwMode="auto">
        <a:xfrm>
          <a:off x="186690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22</xdr:col>
      <xdr:colOff>0</xdr:colOff>
      <xdr:row>1</xdr:row>
      <xdr:rowOff>0</xdr:rowOff>
    </xdr:from>
    <xdr:to>
      <xdr:col>22</xdr:col>
      <xdr:colOff>304800</xdr:colOff>
      <xdr:row>2</xdr:row>
      <xdr:rowOff>101600</xdr:rowOff>
    </xdr:to>
    <xdr:sp macro="" textlink="">
      <xdr:nvSpPr>
        <xdr:cNvPr id="1047" name="AutoShape 23" descr="ts_time">
          <a:extLst>
            <a:ext uri="{FF2B5EF4-FFF2-40B4-BE49-F238E27FC236}">
              <a16:creationId xmlns:a16="http://schemas.microsoft.com/office/drawing/2014/main" id="{9BFB431A-43CB-6422-6B8C-BA3731AD990B}"/>
            </a:ext>
          </a:extLst>
        </xdr:cNvPr>
        <xdr:cNvSpPr>
          <a:spLocks noChangeAspect="1" noChangeArrowheads="1"/>
        </xdr:cNvSpPr>
      </xdr:nvSpPr>
      <xdr:spPr bwMode="auto">
        <a:xfrm>
          <a:off x="194945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76200</xdr:colOff>
      <xdr:row>0</xdr:row>
      <xdr:rowOff>190500</xdr:rowOff>
    </xdr:from>
    <xdr:to>
      <xdr:col>6</xdr:col>
      <xdr:colOff>508000</xdr:colOff>
      <xdr:row>41</xdr:row>
      <xdr:rowOff>101600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3F68A075-E1D0-BEBE-1EF4-925764536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52700" y="190500"/>
          <a:ext cx="2908300" cy="8242300"/>
        </a:xfrm>
        <a:prstGeom prst="rect">
          <a:avLst/>
        </a:prstGeom>
      </xdr:spPr>
    </xdr:pic>
    <xdr:clientData/>
  </xdr:twoCellAnchor>
  <xdr:twoCellAnchor editAs="oneCell">
    <xdr:from>
      <xdr:col>6</xdr:col>
      <xdr:colOff>508000</xdr:colOff>
      <xdr:row>11</xdr:row>
      <xdr:rowOff>101600</xdr:rowOff>
    </xdr:from>
    <xdr:to>
      <xdr:col>10</xdr:col>
      <xdr:colOff>38100</xdr:colOff>
      <xdr:row>41</xdr:row>
      <xdr:rowOff>177800</xdr:rowOff>
    </xdr:to>
    <xdr:pic>
      <xdr:nvPicPr>
        <xdr:cNvPr id="3" name="Obraz 2">
          <a:extLst>
            <a:ext uri="{FF2B5EF4-FFF2-40B4-BE49-F238E27FC236}">
              <a16:creationId xmlns:a16="http://schemas.microsoft.com/office/drawing/2014/main" id="{7561E3E5-FD46-6FD2-7C72-EB94FA2BB0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61000" y="2336800"/>
          <a:ext cx="2832100" cy="6172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dane.meteomodel.pl/view/hourly_summary?station=352200375&amp;from=2025-07-13&amp;to=2025-07-13" TargetMode="External"/><Relationship Id="rId18" Type="http://schemas.openxmlformats.org/officeDocument/2006/relationships/hyperlink" Target="https://dane.meteomodel.pl/view/hourly_summary?station=352200375&amp;from=2025-07-18&amp;to=2025-07-18" TargetMode="External"/><Relationship Id="rId26" Type="http://schemas.openxmlformats.org/officeDocument/2006/relationships/hyperlink" Target="https://dane.meteomodel.pl/view/hourly_summary?station=352200375&amp;from=2025-07-26&amp;to=2025-07-26" TargetMode="External"/><Relationship Id="rId39" Type="http://schemas.openxmlformats.org/officeDocument/2006/relationships/hyperlink" Target="https://dane.meteomodel.pl/view/hourly_summary?station=352200375&amp;from=2025-08-08&amp;to=2025-08-08" TargetMode="External"/><Relationship Id="rId21" Type="http://schemas.openxmlformats.org/officeDocument/2006/relationships/hyperlink" Target="https://dane.meteomodel.pl/view/hourly_summary?station=352200375&amp;from=2025-07-21&amp;to=2025-07-21" TargetMode="External"/><Relationship Id="rId34" Type="http://schemas.openxmlformats.org/officeDocument/2006/relationships/hyperlink" Target="https://dane.meteomodel.pl/view/hourly_summary?station=352200375&amp;from=2025-08-03&amp;to=2025-08-03" TargetMode="External"/><Relationship Id="rId42" Type="http://schemas.openxmlformats.org/officeDocument/2006/relationships/hyperlink" Target="https://dane.meteomodel.pl/view/hourly_summary?station=352200375&amp;from=2025-08-11&amp;to=2025-08-11" TargetMode="External"/><Relationship Id="rId47" Type="http://schemas.openxmlformats.org/officeDocument/2006/relationships/hyperlink" Target="https://dane.meteomodel.pl/view/hourly_summary?station=352200375&amp;from=2025-08-16&amp;to=2025-08-16" TargetMode="External"/><Relationship Id="rId50" Type="http://schemas.openxmlformats.org/officeDocument/2006/relationships/hyperlink" Target="https://dane.meteomodel.pl/view/hourly_summary?station=352200375&amp;from=2025-08-19&amp;to=2025-08-19" TargetMode="External"/><Relationship Id="rId55" Type="http://schemas.openxmlformats.org/officeDocument/2006/relationships/hyperlink" Target="https://dane.meteomodel.pl/view/hourly_summary?station=352200375&amp;from=2025-08-24&amp;to=2025-08-24" TargetMode="External"/><Relationship Id="rId63" Type="http://schemas.openxmlformats.org/officeDocument/2006/relationships/hyperlink" Target="https://dane.meteomodel.pl/" TargetMode="External"/><Relationship Id="rId7" Type="http://schemas.openxmlformats.org/officeDocument/2006/relationships/hyperlink" Target="https://dane.meteomodel.pl/view/hourly_summary?station=352200375&amp;from=2025-07-07&amp;to=2025-07-07" TargetMode="External"/><Relationship Id="rId2" Type="http://schemas.openxmlformats.org/officeDocument/2006/relationships/hyperlink" Target="https://dane.meteomodel.pl/view/hourly_summary?station=352200375&amp;from=2025-07-02&amp;to=2025-07-02" TargetMode="External"/><Relationship Id="rId16" Type="http://schemas.openxmlformats.org/officeDocument/2006/relationships/hyperlink" Target="https://dane.meteomodel.pl/view/hourly_summary?station=352200375&amp;from=2025-07-16&amp;to=2025-07-16" TargetMode="External"/><Relationship Id="rId29" Type="http://schemas.openxmlformats.org/officeDocument/2006/relationships/hyperlink" Target="https://dane.meteomodel.pl/view/hourly_summary?station=352200375&amp;from=2025-07-29&amp;to=2025-07-29" TargetMode="External"/><Relationship Id="rId11" Type="http://schemas.openxmlformats.org/officeDocument/2006/relationships/hyperlink" Target="https://dane.meteomodel.pl/view/hourly_summary?station=352200375&amp;from=2025-07-11&amp;to=2025-07-11" TargetMode="External"/><Relationship Id="rId24" Type="http://schemas.openxmlformats.org/officeDocument/2006/relationships/hyperlink" Target="https://dane.meteomodel.pl/view/hourly_summary?station=352200375&amp;from=2025-07-24&amp;to=2025-07-24" TargetMode="External"/><Relationship Id="rId32" Type="http://schemas.openxmlformats.org/officeDocument/2006/relationships/hyperlink" Target="https://dane.meteomodel.pl/view/hourly_summary?station=352200375&amp;from=2025-08-01&amp;to=2025-08-01" TargetMode="External"/><Relationship Id="rId37" Type="http://schemas.openxmlformats.org/officeDocument/2006/relationships/hyperlink" Target="https://dane.meteomodel.pl/view/hourly_summary?station=352200375&amp;from=2025-08-06&amp;to=2025-08-06" TargetMode="External"/><Relationship Id="rId40" Type="http://schemas.openxmlformats.org/officeDocument/2006/relationships/hyperlink" Target="https://dane.meteomodel.pl/view/hourly_summary?station=352200375&amp;from=2025-08-09&amp;to=2025-08-09" TargetMode="External"/><Relationship Id="rId45" Type="http://schemas.openxmlformats.org/officeDocument/2006/relationships/hyperlink" Target="https://dane.meteomodel.pl/view/hourly_summary?station=352200375&amp;from=2025-08-14&amp;to=2025-08-14" TargetMode="External"/><Relationship Id="rId53" Type="http://schemas.openxmlformats.org/officeDocument/2006/relationships/hyperlink" Target="https://dane.meteomodel.pl/view/hourly_summary?station=352200375&amp;from=2025-08-22&amp;to=2025-08-22" TargetMode="External"/><Relationship Id="rId58" Type="http://schemas.openxmlformats.org/officeDocument/2006/relationships/hyperlink" Target="https://dane.meteomodel.pl/view/hourly_summary?station=352200375&amp;from=2025-08-27&amp;to=2025-08-27" TargetMode="External"/><Relationship Id="rId5" Type="http://schemas.openxmlformats.org/officeDocument/2006/relationships/hyperlink" Target="https://dane.meteomodel.pl/view/hourly_summary?station=352200375&amp;from=2025-07-05&amp;to=2025-07-05" TargetMode="External"/><Relationship Id="rId61" Type="http://schemas.openxmlformats.org/officeDocument/2006/relationships/hyperlink" Target="https://dane.meteomodel.pl/view/hourly_summary?station=352200375&amp;from=2025-08-30&amp;to=2025-08-30" TargetMode="External"/><Relationship Id="rId19" Type="http://schemas.openxmlformats.org/officeDocument/2006/relationships/hyperlink" Target="https://dane.meteomodel.pl/view/hourly_summary?station=352200375&amp;from=2025-07-19&amp;to=2025-07-19" TargetMode="External"/><Relationship Id="rId14" Type="http://schemas.openxmlformats.org/officeDocument/2006/relationships/hyperlink" Target="https://dane.meteomodel.pl/view/hourly_summary?station=352200375&amp;from=2025-07-14&amp;to=2025-07-14" TargetMode="External"/><Relationship Id="rId22" Type="http://schemas.openxmlformats.org/officeDocument/2006/relationships/hyperlink" Target="https://dane.meteomodel.pl/view/hourly_summary?station=352200375&amp;from=2025-07-22&amp;to=2025-07-22" TargetMode="External"/><Relationship Id="rId27" Type="http://schemas.openxmlformats.org/officeDocument/2006/relationships/hyperlink" Target="https://dane.meteomodel.pl/view/hourly_summary?station=352200375&amp;from=2025-07-27&amp;to=2025-07-27" TargetMode="External"/><Relationship Id="rId30" Type="http://schemas.openxmlformats.org/officeDocument/2006/relationships/hyperlink" Target="https://dane.meteomodel.pl/view/hourly_summary?station=352200375&amp;from=2025-07-30&amp;to=2025-07-30" TargetMode="External"/><Relationship Id="rId35" Type="http://schemas.openxmlformats.org/officeDocument/2006/relationships/hyperlink" Target="https://dane.meteomodel.pl/view/hourly_summary?station=352200375&amp;from=2025-08-04&amp;to=2025-08-04" TargetMode="External"/><Relationship Id="rId43" Type="http://schemas.openxmlformats.org/officeDocument/2006/relationships/hyperlink" Target="https://dane.meteomodel.pl/view/hourly_summary?station=352200375&amp;from=2025-08-12&amp;to=2025-08-12" TargetMode="External"/><Relationship Id="rId48" Type="http://schemas.openxmlformats.org/officeDocument/2006/relationships/hyperlink" Target="https://dane.meteomodel.pl/view/hourly_summary?station=352200375&amp;from=2025-08-17&amp;to=2025-08-17" TargetMode="External"/><Relationship Id="rId56" Type="http://schemas.openxmlformats.org/officeDocument/2006/relationships/hyperlink" Target="https://dane.meteomodel.pl/view/hourly_summary?station=352200375&amp;from=2025-08-25&amp;to=2025-08-25" TargetMode="External"/><Relationship Id="rId64" Type="http://schemas.openxmlformats.org/officeDocument/2006/relationships/drawing" Target="../drawings/drawing1.xml"/><Relationship Id="rId8" Type="http://schemas.openxmlformats.org/officeDocument/2006/relationships/hyperlink" Target="https://dane.meteomodel.pl/view/hourly_summary?station=352200375&amp;from=2025-07-08&amp;to=2025-07-08" TargetMode="External"/><Relationship Id="rId51" Type="http://schemas.openxmlformats.org/officeDocument/2006/relationships/hyperlink" Target="https://dane.meteomodel.pl/view/hourly_summary?station=352200375&amp;from=2025-08-20&amp;to=2025-08-20" TargetMode="External"/><Relationship Id="rId3" Type="http://schemas.openxmlformats.org/officeDocument/2006/relationships/hyperlink" Target="https://dane.meteomodel.pl/view/hourly_summary?station=352200375&amp;from=2025-07-03&amp;to=2025-07-03" TargetMode="External"/><Relationship Id="rId12" Type="http://schemas.openxmlformats.org/officeDocument/2006/relationships/hyperlink" Target="https://dane.meteomodel.pl/view/hourly_summary?station=352200375&amp;from=2025-07-12&amp;to=2025-07-12" TargetMode="External"/><Relationship Id="rId17" Type="http://schemas.openxmlformats.org/officeDocument/2006/relationships/hyperlink" Target="https://dane.meteomodel.pl/view/hourly_summary?station=352200375&amp;from=2025-07-17&amp;to=2025-07-17" TargetMode="External"/><Relationship Id="rId25" Type="http://schemas.openxmlformats.org/officeDocument/2006/relationships/hyperlink" Target="https://dane.meteomodel.pl/view/hourly_summary?station=352200375&amp;from=2025-07-25&amp;to=2025-07-25" TargetMode="External"/><Relationship Id="rId33" Type="http://schemas.openxmlformats.org/officeDocument/2006/relationships/hyperlink" Target="https://dane.meteomodel.pl/view/hourly_summary?station=352200375&amp;from=2025-08-02&amp;to=2025-08-02" TargetMode="External"/><Relationship Id="rId38" Type="http://schemas.openxmlformats.org/officeDocument/2006/relationships/hyperlink" Target="https://dane.meteomodel.pl/view/hourly_summary?station=352200375&amp;from=2025-08-07&amp;to=2025-08-07" TargetMode="External"/><Relationship Id="rId46" Type="http://schemas.openxmlformats.org/officeDocument/2006/relationships/hyperlink" Target="https://dane.meteomodel.pl/view/hourly_summary?station=352200375&amp;from=2025-08-15&amp;to=2025-08-15" TargetMode="External"/><Relationship Id="rId59" Type="http://schemas.openxmlformats.org/officeDocument/2006/relationships/hyperlink" Target="https://dane.meteomodel.pl/view/hourly_summary?station=352200375&amp;from=2025-08-28&amp;to=2025-08-28" TargetMode="External"/><Relationship Id="rId20" Type="http://schemas.openxmlformats.org/officeDocument/2006/relationships/hyperlink" Target="https://dane.meteomodel.pl/view/hourly_summary?station=352200375&amp;from=2025-07-20&amp;to=2025-07-20" TargetMode="External"/><Relationship Id="rId41" Type="http://schemas.openxmlformats.org/officeDocument/2006/relationships/hyperlink" Target="https://dane.meteomodel.pl/view/hourly_summary?station=352200375&amp;from=2025-08-10&amp;to=2025-08-10" TargetMode="External"/><Relationship Id="rId54" Type="http://schemas.openxmlformats.org/officeDocument/2006/relationships/hyperlink" Target="https://dane.meteomodel.pl/view/hourly_summary?station=352200375&amp;from=2025-08-23&amp;to=2025-08-23" TargetMode="External"/><Relationship Id="rId62" Type="http://schemas.openxmlformats.org/officeDocument/2006/relationships/hyperlink" Target="https://dane.meteomodel.pl/view/hourly_summary?station=352200375&amp;from=2025-08-31&amp;to=2025-08-31" TargetMode="External"/><Relationship Id="rId1" Type="http://schemas.openxmlformats.org/officeDocument/2006/relationships/hyperlink" Target="https://dane.meteomodel.pl/view/hourly_summary?station=352200375&amp;from=2025-07-01&amp;to=2025-07-01" TargetMode="External"/><Relationship Id="rId6" Type="http://schemas.openxmlformats.org/officeDocument/2006/relationships/hyperlink" Target="https://dane.meteomodel.pl/view/hourly_summary?station=352200375&amp;from=2025-07-06&amp;to=2025-07-06" TargetMode="External"/><Relationship Id="rId15" Type="http://schemas.openxmlformats.org/officeDocument/2006/relationships/hyperlink" Target="https://dane.meteomodel.pl/view/hourly_summary?station=352200375&amp;from=2025-07-15&amp;to=2025-07-15" TargetMode="External"/><Relationship Id="rId23" Type="http://schemas.openxmlformats.org/officeDocument/2006/relationships/hyperlink" Target="https://dane.meteomodel.pl/view/hourly_summary?station=352200375&amp;from=2025-07-23&amp;to=2025-07-23" TargetMode="External"/><Relationship Id="rId28" Type="http://schemas.openxmlformats.org/officeDocument/2006/relationships/hyperlink" Target="https://dane.meteomodel.pl/view/hourly_summary?station=352200375&amp;from=2025-07-28&amp;to=2025-07-28" TargetMode="External"/><Relationship Id="rId36" Type="http://schemas.openxmlformats.org/officeDocument/2006/relationships/hyperlink" Target="https://dane.meteomodel.pl/view/hourly_summary?station=352200375&amp;from=2025-08-05&amp;to=2025-08-05" TargetMode="External"/><Relationship Id="rId49" Type="http://schemas.openxmlformats.org/officeDocument/2006/relationships/hyperlink" Target="https://dane.meteomodel.pl/view/hourly_summary?station=352200375&amp;from=2025-08-18&amp;to=2025-08-18" TargetMode="External"/><Relationship Id="rId57" Type="http://schemas.openxmlformats.org/officeDocument/2006/relationships/hyperlink" Target="https://dane.meteomodel.pl/view/hourly_summary?station=352200375&amp;from=2025-08-26&amp;to=2025-08-26" TargetMode="External"/><Relationship Id="rId10" Type="http://schemas.openxmlformats.org/officeDocument/2006/relationships/hyperlink" Target="https://dane.meteomodel.pl/view/hourly_summary?station=352200375&amp;from=2025-07-10&amp;to=2025-07-10" TargetMode="External"/><Relationship Id="rId31" Type="http://schemas.openxmlformats.org/officeDocument/2006/relationships/hyperlink" Target="https://dane.meteomodel.pl/view/hourly_summary?station=352200375&amp;from=2025-07-31&amp;to=2025-07-31" TargetMode="External"/><Relationship Id="rId44" Type="http://schemas.openxmlformats.org/officeDocument/2006/relationships/hyperlink" Target="https://dane.meteomodel.pl/view/hourly_summary?station=352200375&amp;from=2025-08-13&amp;to=2025-08-13" TargetMode="External"/><Relationship Id="rId52" Type="http://schemas.openxmlformats.org/officeDocument/2006/relationships/hyperlink" Target="https://dane.meteomodel.pl/view/hourly_summary?station=352200375&amp;from=2025-08-21&amp;to=2025-08-21" TargetMode="External"/><Relationship Id="rId60" Type="http://schemas.openxmlformats.org/officeDocument/2006/relationships/hyperlink" Target="https://dane.meteomodel.pl/view/hourly_summary?station=352200375&amp;from=2025-08-29&amp;to=2025-08-29" TargetMode="External"/><Relationship Id="rId4" Type="http://schemas.openxmlformats.org/officeDocument/2006/relationships/hyperlink" Target="https://dane.meteomodel.pl/view/hourly_summary?station=352200375&amp;from=2025-07-04&amp;to=2025-07-04" TargetMode="External"/><Relationship Id="rId9" Type="http://schemas.openxmlformats.org/officeDocument/2006/relationships/hyperlink" Target="https://dane.meteomodel.pl/view/hourly_summary?station=352200375&amp;from=2025-07-09&amp;to=2025-07-09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E899A-544F-F64F-8A54-BCADF5DB7117}">
  <dimension ref="A1:X69"/>
  <sheetViews>
    <sheetView tabSelected="1" workbookViewId="0">
      <selection activeCell="M20" sqref="M20"/>
    </sheetView>
  </sheetViews>
  <sheetFormatPr baseColWidth="10" defaultRowHeight="16" x14ac:dyDescent="0.2"/>
  <cols>
    <col min="1" max="1" width="10.83203125" style="2"/>
    <col min="2" max="2" width="10.83203125" style="10"/>
    <col min="4" max="4" width="28.33203125" customWidth="1"/>
    <col min="5" max="5" width="10.83203125" style="10"/>
  </cols>
  <sheetData>
    <row r="1" spans="1:24" x14ac:dyDescent="0.2">
      <c r="A1" s="21" t="s">
        <v>30</v>
      </c>
      <c r="B1" s="21"/>
      <c r="C1" s="21"/>
      <c r="D1" s="21"/>
      <c r="E1" s="21"/>
      <c r="F1" s="21"/>
      <c r="G1" s="21"/>
      <c r="H1" s="20" t="s">
        <v>31</v>
      </c>
    </row>
    <row r="2" spans="1:24" x14ac:dyDescent="0.2">
      <c r="A2" s="19" t="s">
        <v>0</v>
      </c>
      <c r="B2" s="8" t="s">
        <v>29</v>
      </c>
      <c r="C2" s="1"/>
      <c r="D2" s="1"/>
      <c r="E2" s="8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4" x14ac:dyDescent="0.2">
      <c r="A3" s="3">
        <v>45839</v>
      </c>
      <c r="B3" s="9">
        <v>26.6</v>
      </c>
      <c r="C3" s="4"/>
      <c r="D3" s="18" t="s">
        <v>7</v>
      </c>
      <c r="E3" s="16">
        <f>-COUNT(B3:B64)</f>
        <v>-62</v>
      </c>
      <c r="F3" s="17" t="s">
        <v>20</v>
      </c>
      <c r="G3" s="6"/>
      <c r="H3" s="7"/>
      <c r="I3" s="6"/>
      <c r="J3" s="7"/>
      <c r="K3" s="7"/>
      <c r="L3" s="7"/>
      <c r="M3" s="7"/>
      <c r="N3" s="7"/>
      <c r="O3" s="7"/>
      <c r="P3" s="7"/>
      <c r="Q3" s="6"/>
      <c r="R3" s="7"/>
      <c r="S3" s="7"/>
      <c r="T3" s="7"/>
      <c r="U3" s="7"/>
      <c r="V3" s="5"/>
      <c r="W3" s="7"/>
      <c r="X3" s="7"/>
    </row>
    <row r="4" spans="1:24" x14ac:dyDescent="0.2">
      <c r="A4" s="3">
        <v>45840</v>
      </c>
      <c r="B4" s="9">
        <v>32.200000000000003</v>
      </c>
      <c r="C4" s="5"/>
      <c r="D4" s="4"/>
      <c r="E4" s="9"/>
      <c r="F4" s="17"/>
      <c r="G4" s="4"/>
      <c r="H4" s="7"/>
      <c r="I4" s="6"/>
      <c r="J4" s="7"/>
      <c r="K4" s="7"/>
      <c r="L4" s="7"/>
      <c r="M4" s="7"/>
      <c r="N4" s="7"/>
      <c r="O4" s="7"/>
      <c r="P4" s="7"/>
      <c r="Q4" s="6"/>
      <c r="R4" s="7"/>
      <c r="S4" s="7"/>
      <c r="T4" s="7"/>
      <c r="U4" s="7"/>
      <c r="V4" s="6"/>
      <c r="W4" s="7"/>
      <c r="X4" s="7"/>
    </row>
    <row r="5" spans="1:24" x14ac:dyDescent="0.2">
      <c r="A5" s="3">
        <v>45841</v>
      </c>
      <c r="B5" s="9">
        <v>36.5</v>
      </c>
      <c r="C5" s="5"/>
      <c r="D5" s="12" t="s">
        <v>8</v>
      </c>
      <c r="E5" s="9">
        <f>AVERAGE(B3:B64)</f>
        <v>25.729032258064514</v>
      </c>
      <c r="F5" s="17" t="s">
        <v>21</v>
      </c>
      <c r="G5" s="7"/>
      <c r="H5" s="4"/>
      <c r="I5" s="6"/>
      <c r="J5" s="6"/>
      <c r="K5" s="7"/>
      <c r="L5" s="7"/>
      <c r="M5" s="7"/>
      <c r="N5" s="7"/>
      <c r="O5" s="7"/>
      <c r="P5" s="7"/>
      <c r="Q5" s="6"/>
      <c r="R5" s="5"/>
      <c r="S5" s="7"/>
      <c r="T5" s="7"/>
      <c r="U5" s="7"/>
      <c r="V5" s="7"/>
      <c r="W5" s="7"/>
      <c r="X5" s="7"/>
    </row>
    <row r="6" spans="1:24" x14ac:dyDescent="0.2">
      <c r="A6" s="3">
        <v>45842</v>
      </c>
      <c r="B6" s="9">
        <v>24.2</v>
      </c>
      <c r="C6" s="4"/>
      <c r="D6" s="12" t="s">
        <v>9</v>
      </c>
      <c r="E6" s="9">
        <f>MODE(B3:B64)</f>
        <v>24.3</v>
      </c>
      <c r="F6" s="17" t="s">
        <v>23</v>
      </c>
      <c r="G6" s="6"/>
      <c r="H6" s="4"/>
      <c r="I6" s="6"/>
      <c r="J6" s="7"/>
      <c r="K6" s="7"/>
      <c r="L6" s="7"/>
      <c r="M6" s="7"/>
      <c r="N6" s="7"/>
      <c r="O6" s="7"/>
      <c r="P6" s="7"/>
      <c r="Q6" s="6"/>
      <c r="R6" s="7"/>
      <c r="S6" s="7"/>
      <c r="T6" s="7"/>
      <c r="U6" s="7"/>
      <c r="V6" s="7"/>
      <c r="W6" s="7"/>
      <c r="X6" s="7"/>
    </row>
    <row r="7" spans="1:24" x14ac:dyDescent="0.2">
      <c r="A7" s="3">
        <v>45843</v>
      </c>
      <c r="B7" s="9">
        <v>27.6</v>
      </c>
      <c r="C7" s="4"/>
      <c r="D7" s="12" t="s">
        <v>4</v>
      </c>
      <c r="E7" s="16">
        <f>MEDIAN(B3:B64)</f>
        <v>25.15</v>
      </c>
      <c r="F7" s="17" t="s">
        <v>22</v>
      </c>
      <c r="G7" s="6"/>
      <c r="H7" s="4"/>
      <c r="I7" s="5"/>
      <c r="J7" s="7"/>
      <c r="K7" s="7"/>
      <c r="L7" s="7"/>
      <c r="M7" s="7"/>
      <c r="N7" s="7"/>
      <c r="O7" s="7"/>
      <c r="P7" s="7"/>
      <c r="Q7" s="6"/>
      <c r="R7" s="7"/>
      <c r="S7" s="7"/>
      <c r="T7" s="7"/>
      <c r="U7" s="7"/>
      <c r="V7" s="5"/>
      <c r="W7" s="7"/>
      <c r="X7" s="7"/>
    </row>
    <row r="8" spans="1:24" x14ac:dyDescent="0.2">
      <c r="A8" s="3">
        <v>45844</v>
      </c>
      <c r="B8" s="9">
        <v>31.8</v>
      </c>
      <c r="C8" s="6"/>
      <c r="D8" s="12"/>
      <c r="E8" s="9"/>
      <c r="F8" s="17"/>
      <c r="G8" s="4"/>
      <c r="H8" s="6"/>
      <c r="I8" s="6"/>
      <c r="J8" s="7"/>
      <c r="K8" s="7"/>
      <c r="L8" s="7"/>
      <c r="M8" s="7"/>
      <c r="N8" s="7"/>
      <c r="O8" s="7"/>
      <c r="P8" s="7"/>
      <c r="Q8" s="6"/>
      <c r="R8" s="5"/>
      <c r="S8" s="7"/>
      <c r="T8" s="7"/>
      <c r="U8" s="7"/>
      <c r="V8" s="7"/>
      <c r="W8" s="7"/>
      <c r="X8" s="5"/>
    </row>
    <row r="9" spans="1:24" x14ac:dyDescent="0.2">
      <c r="A9" s="3">
        <v>45845</v>
      </c>
      <c r="B9" s="9">
        <v>24.3</v>
      </c>
      <c r="C9" s="4"/>
      <c r="D9" s="22" t="s">
        <v>10</v>
      </c>
      <c r="E9" s="22"/>
      <c r="F9" s="17"/>
      <c r="G9" s="4"/>
      <c r="H9" s="6"/>
      <c r="I9" s="5"/>
      <c r="J9" s="7"/>
      <c r="K9" s="7"/>
      <c r="L9" s="7"/>
      <c r="M9" s="7"/>
      <c r="N9" s="7"/>
      <c r="O9" s="7"/>
      <c r="P9" s="7"/>
      <c r="Q9" s="4"/>
      <c r="R9" s="5"/>
      <c r="S9" s="7"/>
      <c r="T9" s="7"/>
      <c r="U9" s="7"/>
      <c r="V9" s="7"/>
      <c r="W9" s="7"/>
      <c r="X9" s="7"/>
    </row>
    <row r="10" spans="1:24" x14ac:dyDescent="0.2">
      <c r="A10" s="3">
        <v>45846</v>
      </c>
      <c r="B10" s="9">
        <v>26.2</v>
      </c>
      <c r="C10" s="4"/>
      <c r="D10" s="12" t="s">
        <v>5</v>
      </c>
      <c r="E10" s="9">
        <f>MIN(B3:B64)</f>
        <v>18.7</v>
      </c>
      <c r="F10" s="17" t="s">
        <v>15</v>
      </c>
      <c r="G10" s="4"/>
      <c r="H10" s="6"/>
      <c r="I10" s="6"/>
      <c r="J10" s="7"/>
      <c r="K10" s="7"/>
      <c r="L10" s="7"/>
      <c r="M10" s="7"/>
      <c r="N10" s="6"/>
      <c r="O10" s="7"/>
      <c r="P10" s="7"/>
      <c r="Q10" s="4"/>
      <c r="R10" s="6"/>
      <c r="S10" s="7"/>
      <c r="T10" s="7"/>
      <c r="U10" s="7"/>
      <c r="V10" s="7"/>
      <c r="W10" s="7"/>
      <c r="X10" s="7"/>
    </row>
    <row r="11" spans="1:24" x14ac:dyDescent="0.2">
      <c r="A11" s="3">
        <v>45847</v>
      </c>
      <c r="B11" s="9">
        <v>18.7</v>
      </c>
      <c r="C11" s="4"/>
      <c r="D11" s="12" t="s">
        <v>6</v>
      </c>
      <c r="E11" s="9">
        <f>MAX(B3:B64)</f>
        <v>36.5</v>
      </c>
      <c r="F11" s="17" t="s">
        <v>16</v>
      </c>
      <c r="G11" s="4"/>
      <c r="H11" s="6"/>
      <c r="I11" s="6"/>
      <c r="J11" s="7"/>
      <c r="K11" s="7"/>
      <c r="L11" s="7"/>
      <c r="M11" s="7"/>
      <c r="N11" s="6"/>
      <c r="O11" s="7"/>
      <c r="P11" s="7"/>
      <c r="Q11" s="7"/>
      <c r="R11" s="4"/>
      <c r="S11" s="7"/>
      <c r="T11" s="7"/>
      <c r="U11" s="7"/>
      <c r="V11" s="7"/>
      <c r="W11" s="7"/>
      <c r="X11" s="7"/>
    </row>
    <row r="12" spans="1:24" x14ac:dyDescent="0.2">
      <c r="A12" s="3">
        <v>45848</v>
      </c>
      <c r="B12" s="9">
        <v>20.7</v>
      </c>
      <c r="C12" s="4"/>
      <c r="D12" s="12" t="s">
        <v>11</v>
      </c>
      <c r="E12" s="9">
        <f>MAX(B3:B64)-MIN(B3:B64)</f>
        <v>17.8</v>
      </c>
      <c r="F12" s="17" t="s">
        <v>17</v>
      </c>
      <c r="G12" s="4"/>
      <c r="H12" s="6"/>
      <c r="I12" s="4"/>
      <c r="J12" s="7"/>
      <c r="K12" s="7"/>
      <c r="L12" s="7"/>
      <c r="M12" s="7"/>
      <c r="N12" s="7"/>
      <c r="O12" s="7"/>
      <c r="P12" s="7"/>
      <c r="Q12" s="4"/>
      <c r="R12" s="6"/>
      <c r="S12" s="7"/>
      <c r="T12" s="7"/>
      <c r="U12" s="7"/>
      <c r="V12" s="7"/>
      <c r="W12" s="7"/>
      <c r="X12" s="7"/>
    </row>
    <row r="13" spans="1:24" x14ac:dyDescent="0.2">
      <c r="A13" s="3">
        <v>45849</v>
      </c>
      <c r="B13" s="9">
        <v>19.100000000000001</v>
      </c>
      <c r="C13" s="4"/>
      <c r="D13" s="12" t="s">
        <v>12</v>
      </c>
      <c r="E13" s="9">
        <f>_xlfn.STDEV.S(B3:B64)</f>
        <v>3.8511393714014992</v>
      </c>
      <c r="F13" s="17" t="s">
        <v>18</v>
      </c>
      <c r="G13" s="7"/>
      <c r="H13" s="6"/>
      <c r="I13" s="6"/>
      <c r="J13" s="7"/>
      <c r="K13" s="7"/>
      <c r="L13" s="7"/>
      <c r="M13" s="7"/>
      <c r="N13" s="7"/>
      <c r="O13" s="7"/>
      <c r="P13" s="7"/>
      <c r="Q13" s="4"/>
      <c r="R13" s="5"/>
      <c r="S13" s="7"/>
      <c r="T13" s="7"/>
      <c r="U13" s="7"/>
      <c r="V13" s="7"/>
      <c r="W13" s="7"/>
      <c r="X13" s="7"/>
    </row>
    <row r="14" spans="1:24" x14ac:dyDescent="0.2">
      <c r="A14" s="3">
        <v>45850</v>
      </c>
      <c r="B14" s="9">
        <v>19.8</v>
      </c>
      <c r="C14" s="4"/>
      <c r="D14" s="12" t="s">
        <v>13</v>
      </c>
      <c r="E14" s="14">
        <f>E13/E5</f>
        <v>0.14968069271996801</v>
      </c>
      <c r="F14" s="17" t="s">
        <v>19</v>
      </c>
      <c r="G14" s="4"/>
      <c r="H14" s="6"/>
      <c r="I14" s="6"/>
      <c r="J14" s="7"/>
      <c r="K14" s="7"/>
      <c r="L14" s="7"/>
      <c r="M14" s="7"/>
      <c r="N14" s="7"/>
      <c r="O14" s="7"/>
      <c r="P14" s="7"/>
      <c r="Q14" s="4"/>
      <c r="R14" s="4"/>
      <c r="S14" s="7"/>
      <c r="T14" s="7"/>
      <c r="U14" s="7"/>
      <c r="V14" s="7"/>
      <c r="W14" s="7"/>
      <c r="X14" s="7"/>
    </row>
    <row r="15" spans="1:24" x14ac:dyDescent="0.2">
      <c r="A15" s="3">
        <v>45851</v>
      </c>
      <c r="B15" s="9">
        <v>24.1</v>
      </c>
      <c r="C15" s="4"/>
      <c r="D15" s="22" t="s">
        <v>14</v>
      </c>
      <c r="E15" s="22"/>
      <c r="F15" s="5"/>
      <c r="G15" s="4"/>
      <c r="H15" s="5"/>
      <c r="I15" s="6"/>
      <c r="J15" s="7"/>
      <c r="K15" s="7"/>
      <c r="L15" s="7"/>
      <c r="M15" s="7"/>
      <c r="N15" s="7"/>
      <c r="O15" s="7"/>
      <c r="P15" s="7"/>
      <c r="Q15" s="4"/>
      <c r="R15" s="5"/>
      <c r="S15" s="7"/>
      <c r="T15" s="7"/>
      <c r="U15" s="7"/>
      <c r="V15" s="7"/>
      <c r="W15" s="7"/>
      <c r="X15" s="5"/>
    </row>
    <row r="16" spans="1:24" x14ac:dyDescent="0.2">
      <c r="A16" s="3">
        <v>45852</v>
      </c>
      <c r="B16" s="9">
        <v>27.7</v>
      </c>
      <c r="C16" s="4"/>
      <c r="D16" s="12" t="s">
        <v>27</v>
      </c>
      <c r="E16" s="9">
        <f>SKEW(B3:B64)</f>
        <v>0.33513363580809558</v>
      </c>
      <c r="F16" s="15" t="s">
        <v>26</v>
      </c>
      <c r="G16" s="4"/>
      <c r="H16" s="6"/>
      <c r="I16" s="6"/>
      <c r="J16" s="7"/>
      <c r="K16" s="7"/>
      <c r="L16" s="7"/>
      <c r="M16" s="7"/>
      <c r="N16" s="6"/>
      <c r="O16" s="7"/>
      <c r="P16" s="7"/>
      <c r="Q16" s="6"/>
      <c r="R16" s="5"/>
      <c r="S16" s="7"/>
      <c r="T16" s="7"/>
      <c r="U16" s="7"/>
      <c r="V16" s="7"/>
      <c r="W16" s="7"/>
      <c r="X16" s="6"/>
    </row>
    <row r="17" spans="1:24" ht="17" thickBot="1" x14ac:dyDescent="0.25">
      <c r="A17" s="3">
        <v>45853</v>
      </c>
      <c r="B17" s="9">
        <v>27.2</v>
      </c>
      <c r="C17" s="4"/>
      <c r="D17" s="13" t="s">
        <v>28</v>
      </c>
      <c r="E17" s="9">
        <f>KURT(B3:B64)</f>
        <v>-1.0495862573908887E-2</v>
      </c>
      <c r="F17" s="15" t="s">
        <v>24</v>
      </c>
      <c r="G17" s="4"/>
      <c r="H17" s="6"/>
      <c r="I17" s="6"/>
      <c r="J17" s="7"/>
      <c r="K17" s="7"/>
      <c r="L17" s="7"/>
      <c r="M17" s="7"/>
      <c r="N17" s="6"/>
      <c r="O17" s="7"/>
      <c r="P17" s="7"/>
      <c r="Q17" s="6"/>
      <c r="R17" s="6"/>
      <c r="S17" s="7"/>
      <c r="T17" s="7"/>
      <c r="U17" s="7"/>
      <c r="V17" s="6"/>
      <c r="W17" s="7"/>
      <c r="X17" s="7"/>
    </row>
    <row r="18" spans="1:24" x14ac:dyDescent="0.2">
      <c r="A18" s="3">
        <v>45854</v>
      </c>
      <c r="B18" s="9">
        <v>23.4</v>
      </c>
      <c r="C18" s="4"/>
      <c r="D18" s="4"/>
      <c r="E18" s="9"/>
      <c r="F18" s="5" t="s">
        <v>25</v>
      </c>
      <c r="G18" s="4"/>
      <c r="H18" s="6"/>
      <c r="I18" s="6"/>
      <c r="J18" s="7"/>
      <c r="K18" s="7"/>
      <c r="L18" s="7"/>
      <c r="M18" s="7"/>
      <c r="N18" s="6"/>
      <c r="O18" s="7"/>
      <c r="P18" s="7"/>
      <c r="Q18" s="4"/>
      <c r="R18" s="6"/>
      <c r="S18" s="7"/>
      <c r="T18" s="7"/>
      <c r="U18" s="7"/>
      <c r="V18" s="7"/>
      <c r="W18" s="7"/>
      <c r="X18" s="7"/>
    </row>
    <row r="19" spans="1:24" x14ac:dyDescent="0.2">
      <c r="A19" s="3">
        <v>45855</v>
      </c>
      <c r="B19" s="9">
        <v>23.5</v>
      </c>
      <c r="C19" s="4"/>
      <c r="D19" s="4"/>
      <c r="E19" s="9"/>
      <c r="F19" s="5"/>
      <c r="G19" s="4"/>
      <c r="H19" s="6"/>
      <c r="I19" s="6"/>
      <c r="J19" s="7"/>
      <c r="K19" s="7"/>
      <c r="L19" s="7"/>
      <c r="M19" s="7"/>
      <c r="N19" s="7"/>
      <c r="O19" s="7"/>
      <c r="P19" s="7"/>
      <c r="Q19" s="6"/>
      <c r="R19" s="7"/>
      <c r="S19" s="7"/>
      <c r="T19" s="7"/>
      <c r="U19" s="7"/>
      <c r="V19" s="6"/>
      <c r="W19" s="7"/>
      <c r="X19" s="7"/>
    </row>
    <row r="20" spans="1:24" x14ac:dyDescent="0.2">
      <c r="A20" s="3">
        <v>45856</v>
      </c>
      <c r="B20" s="9">
        <v>25.5</v>
      </c>
      <c r="C20" s="4"/>
      <c r="D20" s="4"/>
      <c r="E20" s="9"/>
      <c r="F20" s="5"/>
      <c r="G20" s="4"/>
      <c r="H20" s="6"/>
      <c r="I20" s="6"/>
      <c r="J20" s="7"/>
      <c r="K20" s="7"/>
      <c r="L20" s="7"/>
      <c r="M20" s="7"/>
      <c r="N20" s="7"/>
      <c r="O20" s="7"/>
      <c r="P20" s="7"/>
      <c r="Q20" s="6"/>
      <c r="R20" s="7"/>
      <c r="S20" s="7"/>
      <c r="T20" s="7"/>
      <c r="U20" s="7"/>
      <c r="V20" s="4"/>
      <c r="W20" s="7"/>
      <c r="X20" s="7"/>
    </row>
    <row r="21" spans="1:24" x14ac:dyDescent="0.2">
      <c r="A21" s="3">
        <v>45857</v>
      </c>
      <c r="B21" s="9">
        <v>24.5</v>
      </c>
      <c r="C21" s="4"/>
      <c r="D21" s="4"/>
      <c r="E21" s="9"/>
      <c r="F21" s="5"/>
      <c r="G21" s="4"/>
      <c r="H21" s="6"/>
      <c r="I21" s="6"/>
      <c r="J21" s="7"/>
      <c r="K21" s="7"/>
      <c r="L21" s="7"/>
      <c r="M21" s="7"/>
      <c r="N21" s="7"/>
      <c r="O21" s="7"/>
      <c r="P21" s="7"/>
      <c r="Q21" s="4"/>
      <c r="R21" s="6"/>
      <c r="S21" s="7"/>
      <c r="T21" s="7"/>
      <c r="U21" s="7"/>
      <c r="V21" s="7"/>
      <c r="W21" s="7"/>
      <c r="X21" s="7"/>
    </row>
    <row r="22" spans="1:24" x14ac:dyDescent="0.2">
      <c r="A22" s="3">
        <v>45858</v>
      </c>
      <c r="B22" s="9">
        <v>27.1</v>
      </c>
      <c r="C22" s="4"/>
      <c r="D22" s="4"/>
      <c r="E22" s="9"/>
      <c r="F22" s="5"/>
      <c r="G22" s="7"/>
      <c r="H22" s="6"/>
      <c r="I22" s="6"/>
      <c r="J22" s="7"/>
      <c r="K22" s="7"/>
      <c r="L22" s="7"/>
      <c r="M22" s="7"/>
      <c r="N22" s="6"/>
      <c r="O22" s="7"/>
      <c r="P22" s="7"/>
      <c r="Q22" s="4"/>
      <c r="R22" s="5"/>
      <c r="S22" s="7"/>
      <c r="T22" s="7"/>
      <c r="U22" s="6"/>
      <c r="V22" s="5"/>
      <c r="W22" s="7"/>
      <c r="X22" s="5"/>
    </row>
    <row r="23" spans="1:24" x14ac:dyDescent="0.2">
      <c r="A23" s="3">
        <v>45859</v>
      </c>
      <c r="B23" s="9">
        <v>29.6</v>
      </c>
      <c r="C23" s="4"/>
      <c r="D23" s="4"/>
      <c r="E23" s="9"/>
      <c r="F23" s="5"/>
      <c r="G23" s="7"/>
      <c r="H23" s="4"/>
      <c r="I23" s="5"/>
      <c r="J23" s="7"/>
      <c r="K23" s="7"/>
      <c r="L23" s="7"/>
      <c r="M23" s="7"/>
      <c r="N23" s="7"/>
      <c r="O23" s="7"/>
      <c r="P23" s="7"/>
      <c r="Q23" s="6"/>
      <c r="R23" s="7"/>
      <c r="S23" s="7"/>
      <c r="T23" s="7"/>
      <c r="U23" s="6"/>
      <c r="V23" s="7"/>
      <c r="W23" s="7"/>
      <c r="X23" s="7"/>
    </row>
    <row r="24" spans="1:24" x14ac:dyDescent="0.2">
      <c r="A24" s="3">
        <v>45860</v>
      </c>
      <c r="B24" s="9">
        <v>26.3</v>
      </c>
      <c r="C24" s="4"/>
      <c r="D24" s="4"/>
      <c r="E24" s="9"/>
      <c r="F24" s="5"/>
      <c r="G24" s="4"/>
      <c r="H24" s="6"/>
      <c r="I24" s="6"/>
      <c r="J24" s="7"/>
      <c r="K24" s="7"/>
      <c r="L24" s="7"/>
      <c r="M24" s="7"/>
      <c r="N24" s="7"/>
      <c r="O24" s="7"/>
      <c r="P24" s="7"/>
      <c r="Q24" s="4"/>
      <c r="R24" s="5"/>
      <c r="S24" s="7"/>
      <c r="T24" s="7"/>
      <c r="U24" s="7"/>
      <c r="V24" s="7"/>
      <c r="W24" s="7"/>
      <c r="X24" s="7"/>
    </row>
    <row r="25" spans="1:24" x14ac:dyDescent="0.2">
      <c r="A25" s="3">
        <v>45861</v>
      </c>
      <c r="B25" s="9">
        <v>25</v>
      </c>
      <c r="C25" s="7"/>
      <c r="D25" s="4"/>
      <c r="E25" s="9"/>
      <c r="F25" s="5"/>
      <c r="G25" s="4"/>
      <c r="H25" s="6"/>
      <c r="I25" s="6"/>
      <c r="J25" s="7"/>
      <c r="K25" s="7"/>
      <c r="L25" s="7"/>
      <c r="M25" s="7"/>
      <c r="N25" s="6"/>
      <c r="O25" s="7"/>
      <c r="P25" s="7"/>
      <c r="Q25" s="6"/>
      <c r="R25" s="6"/>
      <c r="S25" s="7"/>
      <c r="T25" s="7"/>
      <c r="U25" s="7"/>
      <c r="V25" s="5"/>
      <c r="W25" s="7"/>
      <c r="X25" s="7"/>
    </row>
    <row r="26" spans="1:24" x14ac:dyDescent="0.2">
      <c r="A26" s="3">
        <v>45862</v>
      </c>
      <c r="B26" s="9">
        <v>26</v>
      </c>
      <c r="C26" s="7"/>
      <c r="D26" s="4"/>
      <c r="E26" s="9"/>
      <c r="F26" s="5"/>
      <c r="G26" s="4"/>
      <c r="H26" s="6"/>
      <c r="I26" s="6"/>
      <c r="J26" s="7"/>
      <c r="K26" s="7"/>
      <c r="L26" s="7"/>
      <c r="M26" s="7"/>
      <c r="N26" s="7"/>
      <c r="O26" s="7"/>
      <c r="P26" s="7"/>
      <c r="Q26" s="6"/>
      <c r="R26" s="7"/>
      <c r="S26" s="7"/>
      <c r="T26" s="7"/>
      <c r="U26" s="7"/>
      <c r="V26" s="6"/>
      <c r="W26" s="7"/>
      <c r="X26" s="7"/>
    </row>
    <row r="27" spans="1:24" x14ac:dyDescent="0.2">
      <c r="A27" s="3">
        <v>45863</v>
      </c>
      <c r="B27" s="9">
        <v>26</v>
      </c>
      <c r="C27" s="7"/>
      <c r="D27" s="4"/>
      <c r="E27" s="9"/>
      <c r="F27" s="5"/>
      <c r="G27" s="4"/>
      <c r="H27" s="6"/>
      <c r="I27" s="6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</row>
    <row r="28" spans="1:24" x14ac:dyDescent="0.2">
      <c r="A28" s="3">
        <v>45864</v>
      </c>
      <c r="B28" s="9">
        <v>29.4</v>
      </c>
      <c r="C28" s="4"/>
      <c r="D28" s="7"/>
      <c r="E28" s="9"/>
      <c r="F28" s="5"/>
      <c r="G28" s="4"/>
      <c r="H28" s="6"/>
      <c r="I28" s="6"/>
      <c r="J28" s="7"/>
      <c r="K28" s="7"/>
      <c r="L28" s="7"/>
      <c r="M28" s="7"/>
      <c r="N28" s="7"/>
      <c r="O28" s="7"/>
      <c r="P28" s="7"/>
      <c r="Q28" s="6"/>
      <c r="R28" s="5"/>
      <c r="S28" s="7"/>
      <c r="T28" s="7"/>
      <c r="U28" s="7"/>
      <c r="V28" s="5"/>
      <c r="W28" s="7"/>
      <c r="X28" s="7"/>
    </row>
    <row r="29" spans="1:24" x14ac:dyDescent="0.2">
      <c r="A29" s="3">
        <v>45865</v>
      </c>
      <c r="B29" s="9">
        <v>25.3</v>
      </c>
      <c r="C29" s="4"/>
      <c r="D29" s="4"/>
      <c r="E29" s="9"/>
      <c r="F29" s="5"/>
      <c r="G29" s="4"/>
      <c r="H29" s="6"/>
      <c r="I29" s="6"/>
      <c r="J29" s="7"/>
      <c r="K29" s="7"/>
      <c r="L29" s="7"/>
      <c r="M29" s="7"/>
      <c r="N29" s="6"/>
      <c r="O29" s="7"/>
      <c r="P29" s="7"/>
      <c r="Q29" s="4"/>
      <c r="R29" s="6"/>
      <c r="S29" s="7"/>
      <c r="T29" s="7"/>
      <c r="U29" s="7"/>
      <c r="V29" s="7"/>
      <c r="W29" s="7"/>
      <c r="X29" s="7"/>
    </row>
    <row r="30" spans="1:24" x14ac:dyDescent="0.2">
      <c r="A30" s="3">
        <v>45866</v>
      </c>
      <c r="B30" s="9">
        <v>24.9</v>
      </c>
      <c r="C30" s="4"/>
      <c r="D30" s="4"/>
      <c r="E30" s="9"/>
      <c r="F30" s="5"/>
      <c r="G30" s="4"/>
      <c r="H30" s="6"/>
      <c r="I30" s="6"/>
      <c r="J30" s="7"/>
      <c r="K30" s="7"/>
      <c r="L30" s="7"/>
      <c r="M30" s="7"/>
      <c r="N30" s="6"/>
      <c r="O30" s="7"/>
      <c r="P30" s="7"/>
      <c r="Q30" s="4"/>
      <c r="R30" s="7"/>
      <c r="S30" s="7"/>
      <c r="T30" s="7"/>
      <c r="U30" s="7"/>
      <c r="V30" s="7"/>
      <c r="W30" s="7"/>
      <c r="X30" s="5"/>
    </row>
    <row r="31" spans="1:24" x14ac:dyDescent="0.2">
      <c r="A31" s="3">
        <v>45867</v>
      </c>
      <c r="B31" s="9">
        <v>22.5</v>
      </c>
      <c r="C31" s="4"/>
      <c r="D31" s="4"/>
      <c r="E31" s="9"/>
      <c r="F31" s="5"/>
      <c r="G31" s="4"/>
      <c r="H31" s="6"/>
      <c r="I31" s="6"/>
      <c r="J31" s="7"/>
      <c r="K31" s="7"/>
      <c r="L31" s="7"/>
      <c r="M31" s="7"/>
      <c r="N31" s="7"/>
      <c r="O31" s="7"/>
      <c r="P31" s="7"/>
      <c r="Q31" s="4"/>
      <c r="R31" s="6"/>
      <c r="S31" s="7"/>
      <c r="T31" s="7"/>
      <c r="U31" s="7"/>
      <c r="V31" s="6"/>
      <c r="W31" s="7"/>
      <c r="X31" s="7"/>
    </row>
    <row r="32" spans="1:24" x14ac:dyDescent="0.2">
      <c r="A32" s="3">
        <v>45868</v>
      </c>
      <c r="B32" s="9">
        <v>24.3</v>
      </c>
      <c r="C32" s="4"/>
      <c r="D32" s="4"/>
      <c r="E32" s="9"/>
      <c r="F32" s="5"/>
      <c r="G32" s="7"/>
      <c r="H32" s="4"/>
      <c r="I32" s="6"/>
      <c r="J32" s="7"/>
      <c r="K32" s="7"/>
      <c r="L32" s="7"/>
      <c r="M32" s="7"/>
      <c r="N32" s="7"/>
      <c r="O32" s="7"/>
      <c r="P32" s="7"/>
      <c r="Q32" s="6"/>
      <c r="R32" s="7"/>
      <c r="S32" s="7"/>
      <c r="T32" s="7"/>
      <c r="U32" s="7"/>
      <c r="V32" s="6"/>
      <c r="W32" s="7"/>
      <c r="X32" s="7"/>
    </row>
    <row r="33" spans="1:24" x14ac:dyDescent="0.2">
      <c r="A33" s="3">
        <v>45869</v>
      </c>
      <c r="B33" s="9">
        <v>22.1</v>
      </c>
      <c r="C33" s="4"/>
      <c r="D33" s="4"/>
      <c r="E33" s="9"/>
      <c r="F33" s="5"/>
      <c r="G33" s="4"/>
      <c r="H33" s="6"/>
      <c r="I33" s="6"/>
      <c r="J33" s="7"/>
      <c r="K33" s="7"/>
      <c r="L33" s="7"/>
      <c r="M33" s="7"/>
      <c r="N33" s="7"/>
      <c r="O33" s="7"/>
      <c r="P33" s="7"/>
      <c r="Q33" s="4"/>
      <c r="R33" s="6"/>
      <c r="S33" s="7"/>
      <c r="T33" s="7"/>
      <c r="U33" s="7"/>
      <c r="V33" s="6"/>
      <c r="W33" s="7"/>
      <c r="X33" s="7"/>
    </row>
    <row r="34" spans="1:24" x14ac:dyDescent="0.2">
      <c r="A34" s="3">
        <v>45870</v>
      </c>
      <c r="B34" s="9">
        <v>23.6</v>
      </c>
      <c r="C34" s="4"/>
      <c r="D34" s="4"/>
      <c r="E34" s="9"/>
      <c r="F34" s="5"/>
      <c r="G34" s="4"/>
      <c r="H34" s="6"/>
      <c r="I34" s="6"/>
      <c r="J34" s="7"/>
      <c r="K34" s="7"/>
      <c r="L34" s="7"/>
      <c r="M34" s="7"/>
      <c r="N34" s="7"/>
      <c r="O34" s="7"/>
      <c r="P34" s="7"/>
      <c r="Q34" s="4"/>
      <c r="R34" s="6"/>
      <c r="S34" s="7"/>
      <c r="T34" s="7"/>
      <c r="U34" s="7"/>
      <c r="V34" s="6"/>
      <c r="W34" s="7"/>
      <c r="X34" s="7"/>
    </row>
    <row r="35" spans="1:24" x14ac:dyDescent="0.2">
      <c r="A35" s="3">
        <v>45871</v>
      </c>
      <c r="B35" s="9">
        <v>25.7</v>
      </c>
      <c r="C35" s="4"/>
      <c r="D35" s="4"/>
      <c r="E35" s="9"/>
      <c r="F35" s="5"/>
      <c r="G35" s="4"/>
      <c r="H35" s="6"/>
      <c r="I35" s="6"/>
      <c r="J35" s="7"/>
      <c r="K35" s="7"/>
      <c r="L35" s="7"/>
      <c r="M35" s="7"/>
      <c r="N35" s="7"/>
      <c r="O35" s="7"/>
      <c r="P35" s="7"/>
      <c r="Q35" s="6"/>
      <c r="R35" s="7"/>
      <c r="S35" s="7"/>
      <c r="T35" s="7"/>
      <c r="U35" s="7"/>
      <c r="V35" s="5"/>
      <c r="W35" s="7"/>
      <c r="X35" s="7"/>
    </row>
    <row r="36" spans="1:24" x14ac:dyDescent="0.2">
      <c r="A36" s="3">
        <v>45872</v>
      </c>
      <c r="B36" s="9">
        <v>28.1</v>
      </c>
      <c r="C36" s="4"/>
      <c r="D36" s="4"/>
      <c r="E36" s="9"/>
      <c r="F36" s="5"/>
      <c r="G36" s="4"/>
      <c r="H36" s="6"/>
      <c r="I36" s="6"/>
      <c r="J36" s="7"/>
      <c r="K36" s="7"/>
      <c r="L36" s="7"/>
      <c r="M36" s="7"/>
      <c r="N36" s="7"/>
      <c r="O36" s="7"/>
      <c r="P36" s="7"/>
      <c r="Q36" s="6"/>
      <c r="R36" s="7"/>
      <c r="S36" s="7"/>
      <c r="T36" s="7"/>
      <c r="U36" s="7"/>
      <c r="V36" s="5"/>
      <c r="W36" s="7"/>
      <c r="X36" s="7"/>
    </row>
    <row r="37" spans="1:24" x14ac:dyDescent="0.2">
      <c r="A37" s="3">
        <v>45873</v>
      </c>
      <c r="B37" s="9">
        <v>24.4</v>
      </c>
      <c r="C37" s="4"/>
      <c r="D37" s="4"/>
      <c r="E37" s="9"/>
      <c r="F37" s="5"/>
      <c r="G37" s="4"/>
      <c r="H37" s="4"/>
      <c r="I37" s="6"/>
      <c r="J37" s="7"/>
      <c r="K37" s="7"/>
      <c r="L37" s="7"/>
      <c r="M37" s="7"/>
      <c r="N37" s="7"/>
      <c r="O37" s="7"/>
      <c r="P37" s="7"/>
      <c r="Q37" s="5"/>
      <c r="R37" s="7"/>
      <c r="S37" s="7"/>
      <c r="T37" s="7"/>
      <c r="U37" s="7"/>
      <c r="V37" s="6"/>
      <c r="W37" s="7"/>
      <c r="X37" s="7"/>
    </row>
    <row r="38" spans="1:24" x14ac:dyDescent="0.2">
      <c r="A38" s="3">
        <v>45874</v>
      </c>
      <c r="B38" s="9">
        <v>26.7</v>
      </c>
      <c r="C38" s="4"/>
      <c r="D38" s="4"/>
      <c r="E38" s="9"/>
      <c r="F38" s="5"/>
      <c r="G38" s="4"/>
      <c r="H38" s="6"/>
      <c r="I38" s="6"/>
      <c r="J38" s="7"/>
      <c r="K38" s="7"/>
      <c r="L38" s="7"/>
      <c r="M38" s="7"/>
      <c r="N38" s="6"/>
      <c r="O38" s="7"/>
      <c r="P38" s="7"/>
      <c r="Q38" s="6"/>
      <c r="R38" s="6"/>
      <c r="S38" s="7"/>
      <c r="T38" s="7"/>
      <c r="U38" s="7"/>
      <c r="V38" s="7"/>
      <c r="W38" s="7"/>
      <c r="X38" s="7"/>
    </row>
    <row r="39" spans="1:24" x14ac:dyDescent="0.2">
      <c r="A39" s="3">
        <v>45875</v>
      </c>
      <c r="B39" s="9">
        <v>23.9</v>
      </c>
      <c r="C39" s="4"/>
      <c r="D39" s="4"/>
      <c r="E39" s="9"/>
      <c r="F39" s="5"/>
      <c r="G39" s="6"/>
      <c r="H39" s="6"/>
      <c r="I39" s="6"/>
      <c r="J39" s="7"/>
      <c r="K39" s="7"/>
      <c r="L39" s="7"/>
      <c r="M39" s="7"/>
      <c r="N39" s="7"/>
      <c r="O39" s="7"/>
      <c r="P39" s="7"/>
      <c r="Q39" s="6"/>
      <c r="R39" s="7"/>
      <c r="S39" s="7"/>
      <c r="T39" s="7"/>
      <c r="U39" s="7"/>
      <c r="V39" s="5"/>
      <c r="W39" s="7"/>
      <c r="X39" s="7"/>
    </row>
    <row r="40" spans="1:24" x14ac:dyDescent="0.2">
      <c r="A40" s="3">
        <v>45876</v>
      </c>
      <c r="B40" s="9">
        <v>23.6</v>
      </c>
      <c r="C40" s="4"/>
      <c r="D40" s="7"/>
      <c r="E40" s="11"/>
      <c r="F40" s="5"/>
      <c r="G40" s="6"/>
      <c r="H40" s="6"/>
      <c r="I40" s="6"/>
      <c r="J40" s="7"/>
      <c r="K40" s="7"/>
      <c r="L40" s="7"/>
      <c r="M40" s="7"/>
      <c r="N40" s="7"/>
      <c r="O40" s="7"/>
      <c r="P40" s="7"/>
      <c r="Q40" s="6"/>
      <c r="R40" s="7"/>
      <c r="S40" s="7"/>
      <c r="T40" s="7"/>
      <c r="U40" s="7"/>
      <c r="V40" s="6"/>
      <c r="W40" s="7"/>
      <c r="X40" s="7"/>
    </row>
    <row r="41" spans="1:24" x14ac:dyDescent="0.2">
      <c r="A41" s="3">
        <v>45877</v>
      </c>
      <c r="B41" s="9">
        <v>26.8</v>
      </c>
      <c r="C41" s="4"/>
      <c r="D41" s="4"/>
      <c r="E41" s="9"/>
      <c r="F41" s="5"/>
      <c r="G41" s="4"/>
      <c r="H41" s="5"/>
      <c r="I41" s="5"/>
      <c r="J41" s="7"/>
      <c r="K41" s="7"/>
      <c r="L41" s="7"/>
      <c r="M41" s="7"/>
      <c r="N41" s="7"/>
      <c r="O41" s="7"/>
      <c r="P41" s="7"/>
      <c r="Q41" s="4"/>
      <c r="R41" s="7"/>
      <c r="S41" s="7"/>
      <c r="T41" s="7"/>
      <c r="U41" s="7"/>
      <c r="V41" s="7"/>
      <c r="W41" s="7"/>
      <c r="X41" s="7"/>
    </row>
    <row r="42" spans="1:24" x14ac:dyDescent="0.2">
      <c r="A42" s="3">
        <v>45878</v>
      </c>
      <c r="B42" s="9">
        <v>29.9</v>
      </c>
      <c r="C42" s="4"/>
      <c r="D42" s="4"/>
      <c r="E42" s="9"/>
      <c r="F42" s="5"/>
      <c r="G42" s="4"/>
      <c r="H42" s="4"/>
      <c r="I42" s="6"/>
      <c r="J42" s="7"/>
      <c r="K42" s="7"/>
      <c r="L42" s="7"/>
      <c r="M42" s="7"/>
      <c r="N42" s="7"/>
      <c r="O42" s="7"/>
      <c r="P42" s="7"/>
      <c r="Q42" s="6"/>
      <c r="R42" s="7"/>
      <c r="S42" s="7"/>
      <c r="T42" s="7"/>
      <c r="U42" s="7"/>
      <c r="V42" s="7"/>
      <c r="W42" s="7"/>
      <c r="X42" s="7"/>
    </row>
    <row r="43" spans="1:24" x14ac:dyDescent="0.2">
      <c r="A43" s="3">
        <v>45879</v>
      </c>
      <c r="B43" s="9">
        <v>29.9</v>
      </c>
      <c r="C43" s="4"/>
      <c r="D43" s="4"/>
      <c r="E43" s="9"/>
      <c r="F43" s="5"/>
      <c r="G43" s="4"/>
      <c r="H43" s="4"/>
      <c r="I43" s="6"/>
      <c r="J43" s="6"/>
      <c r="K43" s="7"/>
      <c r="L43" s="7"/>
      <c r="M43" s="7"/>
      <c r="N43" s="7"/>
      <c r="O43" s="7"/>
      <c r="P43" s="7"/>
      <c r="Q43" s="6"/>
      <c r="R43" s="7"/>
      <c r="S43" s="7"/>
      <c r="T43" s="7"/>
      <c r="U43" s="7"/>
      <c r="V43" s="7"/>
      <c r="W43" s="7"/>
      <c r="X43" s="7"/>
    </row>
    <row r="44" spans="1:24" x14ac:dyDescent="0.2">
      <c r="A44" s="3">
        <v>45880</v>
      </c>
      <c r="B44" s="9">
        <v>24.7</v>
      </c>
      <c r="C44" s="4"/>
      <c r="D44" s="4"/>
      <c r="E44" s="9"/>
      <c r="F44" s="5"/>
      <c r="G44" s="6"/>
      <c r="H44" s="4"/>
      <c r="I44" s="6"/>
      <c r="J44" s="7"/>
      <c r="K44" s="7"/>
      <c r="L44" s="7"/>
      <c r="M44" s="7"/>
      <c r="N44" s="7"/>
      <c r="O44" s="7"/>
      <c r="P44" s="7"/>
      <c r="Q44" s="6"/>
      <c r="R44" s="7"/>
      <c r="S44" s="7"/>
      <c r="T44" s="7"/>
      <c r="U44" s="7"/>
      <c r="V44" s="5"/>
      <c r="W44" s="7"/>
      <c r="X44" s="7"/>
    </row>
    <row r="45" spans="1:24" x14ac:dyDescent="0.2">
      <c r="A45" s="3">
        <v>45881</v>
      </c>
      <c r="B45" s="9">
        <v>27.7</v>
      </c>
      <c r="C45" s="4"/>
      <c r="D45" s="4"/>
      <c r="E45" s="9"/>
      <c r="F45" s="5"/>
      <c r="G45" s="6"/>
      <c r="H45" s="4"/>
      <c r="I45" s="6"/>
      <c r="J45" s="7"/>
      <c r="K45" s="7"/>
      <c r="L45" s="7"/>
      <c r="M45" s="7"/>
      <c r="N45" s="7"/>
      <c r="O45" s="7"/>
      <c r="P45" s="7"/>
      <c r="Q45" s="6"/>
      <c r="R45" s="7"/>
      <c r="S45" s="7"/>
      <c r="T45" s="7"/>
      <c r="U45" s="7"/>
      <c r="V45" s="5"/>
      <c r="W45" s="7"/>
      <c r="X45" s="7"/>
    </row>
    <row r="46" spans="1:24" x14ac:dyDescent="0.2">
      <c r="A46" s="3">
        <v>45882</v>
      </c>
      <c r="B46" s="9">
        <v>31.1</v>
      </c>
      <c r="C46" s="6"/>
      <c r="D46" s="4"/>
      <c r="E46" s="9"/>
      <c r="F46" s="7"/>
      <c r="G46" s="6"/>
      <c r="H46" s="4"/>
      <c r="I46" s="6"/>
      <c r="J46" s="7"/>
      <c r="K46" s="7"/>
      <c r="L46" s="7"/>
      <c r="M46" s="7"/>
      <c r="N46" s="7"/>
      <c r="O46" s="7"/>
      <c r="P46" s="7"/>
      <c r="Q46" s="6"/>
      <c r="R46" s="7"/>
      <c r="S46" s="7"/>
      <c r="T46" s="7"/>
      <c r="U46" s="7"/>
      <c r="V46" s="7"/>
      <c r="W46" s="7"/>
      <c r="X46" s="7"/>
    </row>
    <row r="47" spans="1:24" x14ac:dyDescent="0.2">
      <c r="A47" s="3">
        <v>45883</v>
      </c>
      <c r="B47" s="9">
        <v>32.299999999999997</v>
      </c>
      <c r="C47" s="5"/>
      <c r="D47" s="4"/>
      <c r="E47" s="9"/>
      <c r="F47" s="7"/>
      <c r="G47" s="4"/>
      <c r="H47" s="7"/>
      <c r="I47" s="6"/>
      <c r="J47" s="7"/>
      <c r="K47" s="7"/>
      <c r="L47" s="7"/>
      <c r="M47" s="7"/>
      <c r="N47" s="7"/>
      <c r="O47" s="7"/>
      <c r="P47" s="7"/>
      <c r="Q47" s="6"/>
      <c r="R47" s="7"/>
      <c r="S47" s="7"/>
      <c r="T47" s="7"/>
      <c r="U47" s="7"/>
      <c r="V47" s="7"/>
      <c r="W47" s="7"/>
      <c r="X47" s="7"/>
    </row>
    <row r="48" spans="1:24" x14ac:dyDescent="0.2">
      <c r="A48" s="3">
        <v>45884</v>
      </c>
      <c r="B48" s="9">
        <v>32.4</v>
      </c>
      <c r="C48" s="5"/>
      <c r="D48" s="4"/>
      <c r="E48" s="9"/>
      <c r="F48" s="7"/>
      <c r="G48" s="4"/>
      <c r="H48" s="4"/>
      <c r="I48" s="6"/>
      <c r="J48" s="7"/>
      <c r="K48" s="7"/>
      <c r="L48" s="7"/>
      <c r="M48" s="7"/>
      <c r="N48" s="7"/>
      <c r="O48" s="7"/>
      <c r="P48" s="7"/>
      <c r="Q48" s="6"/>
      <c r="R48" s="7"/>
      <c r="S48" s="7"/>
      <c r="T48" s="7"/>
      <c r="U48" s="7"/>
      <c r="V48" s="7"/>
      <c r="W48" s="7"/>
      <c r="X48" s="7"/>
    </row>
    <row r="49" spans="1:24" x14ac:dyDescent="0.2">
      <c r="A49" s="3">
        <v>45885</v>
      </c>
      <c r="B49" s="9">
        <v>30.3</v>
      </c>
      <c r="C49" s="6"/>
      <c r="D49" s="4"/>
      <c r="E49" s="9"/>
      <c r="F49" s="5"/>
      <c r="G49" s="4"/>
      <c r="H49" s="4"/>
      <c r="I49" s="5"/>
      <c r="J49" s="7"/>
      <c r="K49" s="7"/>
      <c r="L49" s="7"/>
      <c r="M49" s="7"/>
      <c r="N49" s="7"/>
      <c r="O49" s="7"/>
      <c r="P49" s="7"/>
      <c r="Q49" s="5"/>
      <c r="R49" s="7"/>
      <c r="S49" s="7"/>
      <c r="T49" s="7"/>
      <c r="U49" s="7"/>
      <c r="V49" s="7"/>
      <c r="W49" s="7"/>
      <c r="X49" s="7"/>
    </row>
    <row r="50" spans="1:24" x14ac:dyDescent="0.2">
      <c r="A50" s="3">
        <v>45886</v>
      </c>
      <c r="B50" s="9">
        <v>24.4</v>
      </c>
      <c r="C50" s="4"/>
      <c r="D50" s="4"/>
      <c r="E50" s="9"/>
      <c r="F50" s="5"/>
      <c r="G50" s="6"/>
      <c r="H50" s="4"/>
      <c r="I50" s="6"/>
      <c r="J50" s="7"/>
      <c r="K50" s="7"/>
      <c r="L50" s="7"/>
      <c r="M50" s="7"/>
      <c r="N50" s="7"/>
      <c r="O50" s="7"/>
      <c r="P50" s="7"/>
      <c r="Q50" s="6"/>
      <c r="R50" s="7"/>
      <c r="S50" s="7"/>
      <c r="T50" s="7"/>
      <c r="U50" s="7"/>
      <c r="V50" s="7"/>
      <c r="W50" s="7"/>
      <c r="X50" s="7"/>
    </row>
    <row r="51" spans="1:24" x14ac:dyDescent="0.2">
      <c r="A51" s="3">
        <v>45887</v>
      </c>
      <c r="B51" s="9">
        <v>22</v>
      </c>
      <c r="C51" s="7"/>
      <c r="D51" s="4"/>
      <c r="E51" s="9"/>
      <c r="F51" s="5"/>
      <c r="G51" s="4"/>
      <c r="H51" s="6"/>
      <c r="I51" s="6"/>
      <c r="J51" s="7"/>
      <c r="K51" s="7"/>
      <c r="L51" s="7"/>
      <c r="M51" s="7"/>
      <c r="N51" s="7"/>
      <c r="O51" s="7"/>
      <c r="P51" s="7"/>
      <c r="Q51" s="7"/>
      <c r="R51" s="5"/>
      <c r="S51" s="7"/>
      <c r="T51" s="7"/>
      <c r="U51" s="7"/>
      <c r="V51" s="7"/>
      <c r="W51" s="7"/>
      <c r="X51" s="7"/>
    </row>
    <row r="52" spans="1:24" x14ac:dyDescent="0.2">
      <c r="A52" s="3">
        <v>45888</v>
      </c>
      <c r="B52" s="9">
        <v>24.8</v>
      </c>
      <c r="C52" s="4"/>
      <c r="D52" s="4"/>
      <c r="E52" s="11"/>
      <c r="F52" s="5"/>
      <c r="G52" s="4"/>
      <c r="H52" s="4"/>
      <c r="I52" s="6"/>
      <c r="J52" s="7"/>
      <c r="K52" s="7"/>
      <c r="L52" s="7"/>
      <c r="M52" s="7"/>
      <c r="N52" s="7"/>
      <c r="O52" s="7"/>
      <c r="P52" s="7"/>
      <c r="Q52" s="6"/>
      <c r="R52" s="7"/>
      <c r="S52" s="7"/>
      <c r="T52" s="7"/>
      <c r="U52" s="7"/>
      <c r="V52" s="7"/>
      <c r="W52" s="7"/>
      <c r="X52" s="7"/>
    </row>
    <row r="53" spans="1:24" x14ac:dyDescent="0.2">
      <c r="A53" s="3">
        <v>45889</v>
      </c>
      <c r="B53" s="9">
        <v>26.2</v>
      </c>
      <c r="C53" s="4"/>
      <c r="D53" s="4"/>
      <c r="E53" s="9"/>
      <c r="F53" s="5"/>
      <c r="G53" s="6"/>
      <c r="H53" s="4"/>
      <c r="I53" s="6"/>
      <c r="J53" s="7"/>
      <c r="K53" s="7"/>
      <c r="L53" s="7"/>
      <c r="M53" s="7"/>
      <c r="N53" s="7"/>
      <c r="O53" s="7"/>
      <c r="P53" s="7"/>
      <c r="Q53" s="5"/>
      <c r="R53" s="7"/>
      <c r="S53" s="7"/>
      <c r="T53" s="7"/>
      <c r="U53" s="7"/>
      <c r="V53" s="7"/>
      <c r="W53" s="7"/>
      <c r="X53" s="7"/>
    </row>
    <row r="54" spans="1:24" x14ac:dyDescent="0.2">
      <c r="A54" s="3">
        <v>45890</v>
      </c>
      <c r="B54" s="9">
        <v>22.8</v>
      </c>
      <c r="C54" s="4"/>
      <c r="D54" s="4"/>
      <c r="E54" s="11"/>
      <c r="F54" s="5"/>
      <c r="G54" s="6"/>
      <c r="H54" s="4"/>
      <c r="I54" s="6"/>
      <c r="J54" s="7"/>
      <c r="K54" s="7"/>
      <c r="L54" s="7"/>
      <c r="M54" s="7"/>
      <c r="N54" s="7"/>
      <c r="O54" s="7"/>
      <c r="P54" s="7"/>
      <c r="Q54" s="6"/>
      <c r="R54" s="7"/>
      <c r="S54" s="7"/>
      <c r="T54" s="7"/>
      <c r="U54" s="7"/>
      <c r="V54" s="7"/>
      <c r="W54" s="7"/>
      <c r="X54" s="7"/>
    </row>
    <row r="55" spans="1:24" x14ac:dyDescent="0.2">
      <c r="A55" s="3">
        <v>45891</v>
      </c>
      <c r="B55" s="9">
        <v>22.5</v>
      </c>
      <c r="C55" s="4"/>
      <c r="D55" s="4"/>
      <c r="E55" s="11"/>
      <c r="F55" s="5"/>
      <c r="G55" s="6"/>
      <c r="H55" s="5"/>
      <c r="I55" s="6"/>
      <c r="J55" s="7"/>
      <c r="K55" s="7"/>
      <c r="L55" s="7"/>
      <c r="M55" s="7"/>
      <c r="N55" s="7"/>
      <c r="O55" s="7"/>
      <c r="P55" s="7"/>
      <c r="Q55" s="6"/>
      <c r="R55" s="7"/>
      <c r="S55" s="7"/>
      <c r="T55" s="7"/>
      <c r="U55" s="7"/>
      <c r="V55" s="7"/>
      <c r="W55" s="7"/>
      <c r="X55" s="7"/>
    </row>
    <row r="56" spans="1:24" x14ac:dyDescent="0.2">
      <c r="A56" s="3">
        <v>45892</v>
      </c>
      <c r="B56" s="9">
        <v>19.2</v>
      </c>
      <c r="C56" s="4"/>
      <c r="D56" s="4"/>
      <c r="E56" s="9"/>
      <c r="F56" s="5"/>
      <c r="G56" s="6"/>
      <c r="H56" s="6"/>
      <c r="I56" s="6"/>
      <c r="J56" s="7"/>
      <c r="K56" s="7"/>
      <c r="L56" s="7"/>
      <c r="M56" s="7"/>
      <c r="N56" s="6"/>
      <c r="O56" s="7"/>
      <c r="P56" s="7"/>
      <c r="Q56" s="4"/>
      <c r="R56" s="6"/>
      <c r="S56" s="7"/>
      <c r="T56" s="7"/>
      <c r="U56" s="7"/>
      <c r="V56" s="7"/>
      <c r="W56" s="7"/>
      <c r="X56" s="7"/>
    </row>
    <row r="57" spans="1:24" x14ac:dyDescent="0.2">
      <c r="A57" s="3">
        <v>45893</v>
      </c>
      <c r="B57" s="9">
        <v>19.8</v>
      </c>
      <c r="C57" s="4"/>
      <c r="D57" s="4"/>
      <c r="E57" s="9"/>
      <c r="F57" s="5"/>
      <c r="G57" s="6"/>
      <c r="H57" s="6"/>
      <c r="I57" s="6"/>
      <c r="J57" s="7"/>
      <c r="K57" s="7"/>
      <c r="L57" s="7"/>
      <c r="M57" s="7"/>
      <c r="N57" s="7"/>
      <c r="O57" s="7"/>
      <c r="P57" s="7"/>
      <c r="Q57" s="6"/>
      <c r="R57" s="6"/>
      <c r="S57" s="7"/>
      <c r="T57" s="7"/>
      <c r="U57" s="7"/>
      <c r="V57" s="7"/>
      <c r="W57" s="7"/>
      <c r="X57" s="7"/>
    </row>
    <row r="58" spans="1:24" x14ac:dyDescent="0.2">
      <c r="A58" s="3">
        <v>45894</v>
      </c>
      <c r="B58" s="9">
        <v>19.100000000000001</v>
      </c>
      <c r="C58" s="4"/>
      <c r="D58" s="4"/>
      <c r="E58" s="9"/>
      <c r="F58" s="5"/>
      <c r="G58" s="6"/>
      <c r="H58" s="6"/>
      <c r="I58" s="6"/>
      <c r="J58" s="7"/>
      <c r="K58" s="7"/>
      <c r="L58" s="7"/>
      <c r="M58" s="7"/>
      <c r="N58" s="5"/>
      <c r="O58" s="7"/>
      <c r="P58" s="7"/>
      <c r="Q58" s="4"/>
      <c r="R58" s="6"/>
      <c r="S58" s="7"/>
      <c r="T58" s="7"/>
      <c r="U58" s="7"/>
      <c r="V58" s="7"/>
      <c r="W58" s="7"/>
      <c r="X58" s="7"/>
    </row>
    <row r="59" spans="1:24" x14ac:dyDescent="0.2">
      <c r="A59" s="3">
        <v>45895</v>
      </c>
      <c r="B59" s="9">
        <v>20.3</v>
      </c>
      <c r="C59" s="4"/>
      <c r="D59" s="4"/>
      <c r="E59" s="11"/>
      <c r="F59" s="5"/>
      <c r="G59" s="6"/>
      <c r="H59" s="6"/>
      <c r="I59" s="6"/>
      <c r="J59" s="7"/>
      <c r="K59" s="7"/>
      <c r="L59" s="7"/>
      <c r="M59" s="7"/>
      <c r="N59" s="7"/>
      <c r="O59" s="7"/>
      <c r="P59" s="7"/>
      <c r="Q59" s="6"/>
      <c r="R59" s="7"/>
      <c r="S59" s="7"/>
      <c r="T59" s="7"/>
      <c r="U59" s="7"/>
      <c r="V59" s="7"/>
      <c r="W59" s="7"/>
      <c r="X59" s="7"/>
    </row>
    <row r="60" spans="1:24" x14ac:dyDescent="0.2">
      <c r="A60" s="3">
        <v>45896</v>
      </c>
      <c r="B60" s="9">
        <v>24.7</v>
      </c>
      <c r="C60" s="4"/>
      <c r="D60" s="6"/>
      <c r="E60" s="11"/>
      <c r="F60" s="5"/>
      <c r="G60" s="6"/>
      <c r="H60" s="7"/>
      <c r="I60" s="6"/>
      <c r="J60" s="7"/>
      <c r="K60" s="7"/>
      <c r="L60" s="7"/>
      <c r="M60" s="7"/>
      <c r="N60" s="7"/>
      <c r="O60" s="7"/>
      <c r="P60" s="7"/>
      <c r="Q60" s="6"/>
      <c r="R60" s="7"/>
      <c r="S60" s="7"/>
      <c r="T60" s="7"/>
      <c r="U60" s="7"/>
      <c r="V60" s="6"/>
      <c r="W60" s="7"/>
      <c r="X60" s="7"/>
    </row>
    <row r="61" spans="1:24" x14ac:dyDescent="0.2">
      <c r="A61" s="3">
        <v>45897</v>
      </c>
      <c r="B61" s="9">
        <v>32.1</v>
      </c>
      <c r="C61" s="5"/>
      <c r="D61" s="4"/>
      <c r="E61" s="9"/>
      <c r="F61" s="7"/>
      <c r="G61" s="6"/>
      <c r="H61" s="6"/>
      <c r="I61" s="6"/>
      <c r="J61" s="7"/>
      <c r="K61" s="7"/>
      <c r="L61" s="7"/>
      <c r="M61" s="7"/>
      <c r="N61" s="7"/>
      <c r="O61" s="7"/>
      <c r="P61" s="7"/>
      <c r="Q61" s="6"/>
      <c r="R61" s="7"/>
      <c r="S61" s="7"/>
      <c r="T61" s="7"/>
      <c r="U61" s="7"/>
      <c r="V61" s="7"/>
      <c r="W61" s="7"/>
      <c r="X61" s="7"/>
    </row>
    <row r="62" spans="1:24" x14ac:dyDescent="0.2">
      <c r="A62" s="3">
        <v>45898</v>
      </c>
      <c r="B62" s="9">
        <v>31</v>
      </c>
      <c r="C62" s="5"/>
      <c r="D62" s="4"/>
      <c r="E62" s="9"/>
      <c r="F62" s="7"/>
      <c r="G62" s="4"/>
      <c r="H62" s="6"/>
      <c r="I62" s="6"/>
      <c r="J62" s="7"/>
      <c r="K62" s="7"/>
      <c r="L62" s="7"/>
      <c r="M62" s="7"/>
      <c r="N62" s="7"/>
      <c r="O62" s="7"/>
      <c r="P62" s="7"/>
      <c r="Q62" s="5"/>
      <c r="R62" s="5"/>
      <c r="S62" s="7"/>
      <c r="T62" s="7"/>
      <c r="U62" s="7"/>
      <c r="V62" s="7"/>
      <c r="W62" s="7"/>
      <c r="X62" s="7"/>
    </row>
    <row r="63" spans="1:24" x14ac:dyDescent="0.2">
      <c r="A63" s="3">
        <v>45899</v>
      </c>
      <c r="B63" s="9">
        <v>29</v>
      </c>
      <c r="C63" s="7"/>
      <c r="D63" s="4"/>
      <c r="E63" s="9"/>
      <c r="F63" s="5"/>
      <c r="G63" s="4"/>
      <c r="H63" s="6"/>
      <c r="I63" s="6"/>
      <c r="J63" s="7"/>
      <c r="K63" s="7"/>
      <c r="L63" s="7"/>
      <c r="M63" s="7"/>
      <c r="N63" s="6"/>
      <c r="O63" s="7"/>
      <c r="P63" s="7"/>
      <c r="Q63" s="6"/>
      <c r="R63" s="6"/>
      <c r="S63" s="7"/>
      <c r="T63" s="7"/>
      <c r="U63" s="7"/>
      <c r="V63" s="7"/>
      <c r="W63" s="7"/>
      <c r="X63" s="7"/>
    </row>
    <row r="64" spans="1:24" x14ac:dyDescent="0.2">
      <c r="A64" s="3">
        <v>45900</v>
      </c>
      <c r="B64" s="9">
        <v>24.1</v>
      </c>
      <c r="C64" s="4"/>
      <c r="D64" s="4"/>
      <c r="E64" s="9"/>
      <c r="F64" s="5"/>
      <c r="G64" s="4"/>
      <c r="H64" s="6"/>
      <c r="I64" s="6"/>
      <c r="J64" s="7"/>
      <c r="K64" s="7"/>
      <c r="L64" s="7"/>
      <c r="M64" s="7"/>
      <c r="N64" s="7"/>
      <c r="O64" s="7"/>
      <c r="P64" s="7"/>
      <c r="Q64" s="4"/>
      <c r="R64" s="6"/>
      <c r="S64" s="7"/>
      <c r="T64" s="7"/>
      <c r="U64" s="7"/>
      <c r="V64" s="7"/>
      <c r="W64" s="7"/>
      <c r="X64" s="7"/>
    </row>
    <row r="65" spans="1:2" x14ac:dyDescent="0.2">
      <c r="B65" s="9"/>
    </row>
    <row r="67" spans="1:2" x14ac:dyDescent="0.2">
      <c r="A67" s="2" t="s">
        <v>1</v>
      </c>
      <c r="B67" s="10">
        <v>25.7</v>
      </c>
    </row>
    <row r="68" spans="1:2" x14ac:dyDescent="0.2">
      <c r="A68" s="2" t="s">
        <v>2</v>
      </c>
      <c r="B68" s="10">
        <v>36.5</v>
      </c>
    </row>
    <row r="69" spans="1:2" x14ac:dyDescent="0.2">
      <c r="A69" s="2" t="s">
        <v>3</v>
      </c>
      <c r="B69" s="10">
        <v>18.7</v>
      </c>
    </row>
  </sheetData>
  <mergeCells count="3">
    <mergeCell ref="A1:G1"/>
    <mergeCell ref="D9:E9"/>
    <mergeCell ref="D15:E15"/>
  </mergeCells>
  <hyperlinks>
    <hyperlink ref="A3" r:id="rId1" display="https://dane.meteomodel.pl/view/hourly_summary?station=352200375&amp;from=2025-07-01&amp;to=2025-07-01" xr:uid="{4A82F8A7-63C1-5945-8D0E-DCD60170B1A1}"/>
    <hyperlink ref="A4" r:id="rId2" display="https://dane.meteomodel.pl/view/hourly_summary?station=352200375&amp;from=2025-07-02&amp;to=2025-07-02" xr:uid="{392C5CFB-DEB7-1D41-A54F-C5DE96C507DC}"/>
    <hyperlink ref="A5" r:id="rId3" display="https://dane.meteomodel.pl/view/hourly_summary?station=352200375&amp;from=2025-07-03&amp;to=2025-07-03" xr:uid="{750A24E6-7D7E-F045-86C4-4EFB893A4134}"/>
    <hyperlink ref="A6" r:id="rId4" display="https://dane.meteomodel.pl/view/hourly_summary?station=352200375&amp;from=2025-07-04&amp;to=2025-07-04" xr:uid="{0E122939-4794-8849-8DDB-D5CCE2389935}"/>
    <hyperlink ref="A7" r:id="rId5" display="https://dane.meteomodel.pl/view/hourly_summary?station=352200375&amp;from=2025-07-05&amp;to=2025-07-05" xr:uid="{38AF6F50-9DC6-0843-A6E6-9AC408023765}"/>
    <hyperlink ref="A8" r:id="rId6" display="https://dane.meteomodel.pl/view/hourly_summary?station=352200375&amp;from=2025-07-06&amp;to=2025-07-06" xr:uid="{410876BA-5A56-E24A-881D-5F7B84D4C00F}"/>
    <hyperlink ref="A9" r:id="rId7" display="https://dane.meteomodel.pl/view/hourly_summary?station=352200375&amp;from=2025-07-07&amp;to=2025-07-07" xr:uid="{DF06DBE1-85D4-2E46-9C65-2C9E3C984829}"/>
    <hyperlink ref="A10" r:id="rId8" display="https://dane.meteomodel.pl/view/hourly_summary?station=352200375&amp;from=2025-07-08&amp;to=2025-07-08" xr:uid="{7C16E2E7-F5E4-2543-988C-2217A4DDE263}"/>
    <hyperlink ref="A11" r:id="rId9" display="https://dane.meteomodel.pl/view/hourly_summary?station=352200375&amp;from=2025-07-09&amp;to=2025-07-09" xr:uid="{F35072DC-EA15-7F47-A045-47AE33F8B305}"/>
    <hyperlink ref="A12" r:id="rId10" display="https://dane.meteomodel.pl/view/hourly_summary?station=352200375&amp;from=2025-07-10&amp;to=2025-07-10" xr:uid="{A906986C-A54B-5045-AF21-70F285FD3FF9}"/>
    <hyperlink ref="A13" r:id="rId11" display="https://dane.meteomodel.pl/view/hourly_summary?station=352200375&amp;from=2025-07-11&amp;to=2025-07-11" xr:uid="{8FF32A57-8921-8440-AD86-7634D9FA8B7C}"/>
    <hyperlink ref="A14" r:id="rId12" display="https://dane.meteomodel.pl/view/hourly_summary?station=352200375&amp;from=2025-07-12&amp;to=2025-07-12" xr:uid="{BBBBC30A-E07E-1C40-A414-50050B096C3A}"/>
    <hyperlink ref="A15" r:id="rId13" display="https://dane.meteomodel.pl/view/hourly_summary?station=352200375&amp;from=2025-07-13&amp;to=2025-07-13" xr:uid="{F3C7C751-8D97-E749-A5B7-AB5A01261595}"/>
    <hyperlink ref="A16" r:id="rId14" display="https://dane.meteomodel.pl/view/hourly_summary?station=352200375&amp;from=2025-07-14&amp;to=2025-07-14" xr:uid="{55B6C0BD-4061-EC4D-B71E-BE71FA1EFD9A}"/>
    <hyperlink ref="A17" r:id="rId15" display="https://dane.meteomodel.pl/view/hourly_summary?station=352200375&amp;from=2025-07-15&amp;to=2025-07-15" xr:uid="{77C104C1-79F6-8D41-A8C2-E1ED06CA479A}"/>
    <hyperlink ref="A18" r:id="rId16" display="https://dane.meteomodel.pl/view/hourly_summary?station=352200375&amp;from=2025-07-16&amp;to=2025-07-16" xr:uid="{5ADDD7AA-82CB-5D47-BF4E-224BE85D2B01}"/>
    <hyperlink ref="A19" r:id="rId17" display="https://dane.meteomodel.pl/view/hourly_summary?station=352200375&amp;from=2025-07-17&amp;to=2025-07-17" xr:uid="{D2FE65A6-2D2F-E14A-9833-703653287F1C}"/>
    <hyperlink ref="A20" r:id="rId18" display="https://dane.meteomodel.pl/view/hourly_summary?station=352200375&amp;from=2025-07-18&amp;to=2025-07-18" xr:uid="{2EB4EE1E-A985-6947-A9C5-D6FC6C388932}"/>
    <hyperlink ref="A21" r:id="rId19" display="https://dane.meteomodel.pl/view/hourly_summary?station=352200375&amp;from=2025-07-19&amp;to=2025-07-19" xr:uid="{1E182387-3078-4949-BEFB-D72235D948EB}"/>
    <hyperlink ref="A22" r:id="rId20" display="https://dane.meteomodel.pl/view/hourly_summary?station=352200375&amp;from=2025-07-20&amp;to=2025-07-20" xr:uid="{0CDE5F1B-E40D-644C-B661-92091C8B8498}"/>
    <hyperlink ref="A23" r:id="rId21" display="https://dane.meteomodel.pl/view/hourly_summary?station=352200375&amp;from=2025-07-21&amp;to=2025-07-21" xr:uid="{4BF37FC0-94A5-6C4C-9D13-7143B3EE4AC5}"/>
    <hyperlink ref="A24" r:id="rId22" display="https://dane.meteomodel.pl/view/hourly_summary?station=352200375&amp;from=2025-07-22&amp;to=2025-07-22" xr:uid="{802C66BA-2998-434D-B6B0-8F6A5296ED3E}"/>
    <hyperlink ref="A25" r:id="rId23" display="https://dane.meteomodel.pl/view/hourly_summary?station=352200375&amp;from=2025-07-23&amp;to=2025-07-23" xr:uid="{7EAA6242-620C-6D46-AE2F-5ED1E3C3BA18}"/>
    <hyperlink ref="A26" r:id="rId24" display="https://dane.meteomodel.pl/view/hourly_summary?station=352200375&amp;from=2025-07-24&amp;to=2025-07-24" xr:uid="{D54E043F-A407-3E4F-BD19-2E6839FEAB8A}"/>
    <hyperlink ref="A27" r:id="rId25" display="https://dane.meteomodel.pl/view/hourly_summary?station=352200375&amp;from=2025-07-25&amp;to=2025-07-25" xr:uid="{53097A0D-01E1-B84F-ABB4-F75E5D5430F9}"/>
    <hyperlink ref="A28" r:id="rId26" display="https://dane.meteomodel.pl/view/hourly_summary?station=352200375&amp;from=2025-07-26&amp;to=2025-07-26" xr:uid="{EC89BBF3-9C42-5845-9B11-EAB71D6D0237}"/>
    <hyperlink ref="A29" r:id="rId27" display="https://dane.meteomodel.pl/view/hourly_summary?station=352200375&amp;from=2025-07-27&amp;to=2025-07-27" xr:uid="{544A24D1-251E-5042-B567-EC663FA91027}"/>
    <hyperlink ref="A30" r:id="rId28" display="https://dane.meteomodel.pl/view/hourly_summary?station=352200375&amp;from=2025-07-28&amp;to=2025-07-28" xr:uid="{99290CB0-52A0-1048-8CD0-0A6CCA061F35}"/>
    <hyperlink ref="A31" r:id="rId29" display="https://dane.meteomodel.pl/view/hourly_summary?station=352200375&amp;from=2025-07-29&amp;to=2025-07-29" xr:uid="{3DCADC33-A328-6A48-B8F0-0E09DFC75B0F}"/>
    <hyperlink ref="A32" r:id="rId30" display="https://dane.meteomodel.pl/view/hourly_summary?station=352200375&amp;from=2025-07-30&amp;to=2025-07-30" xr:uid="{E1A59D14-8B54-0842-B648-048663401842}"/>
    <hyperlink ref="A33" r:id="rId31" display="https://dane.meteomodel.pl/view/hourly_summary?station=352200375&amp;from=2025-07-31&amp;to=2025-07-31" xr:uid="{F9F6A9F2-D6AC-6C43-A5A1-F4ADDAA34D65}"/>
    <hyperlink ref="A34" r:id="rId32" display="https://dane.meteomodel.pl/view/hourly_summary?station=352200375&amp;from=2025-08-01&amp;to=2025-08-01" xr:uid="{5D8A9255-138E-184F-845C-40A94319A01F}"/>
    <hyperlink ref="A35" r:id="rId33" display="https://dane.meteomodel.pl/view/hourly_summary?station=352200375&amp;from=2025-08-02&amp;to=2025-08-02" xr:uid="{D51B51FC-C95F-7844-A9A6-91952F3B7DD0}"/>
    <hyperlink ref="A36" r:id="rId34" display="https://dane.meteomodel.pl/view/hourly_summary?station=352200375&amp;from=2025-08-03&amp;to=2025-08-03" xr:uid="{AA454700-19E7-DD45-931D-B7016480DB8B}"/>
    <hyperlink ref="A37" r:id="rId35" display="https://dane.meteomodel.pl/view/hourly_summary?station=352200375&amp;from=2025-08-04&amp;to=2025-08-04" xr:uid="{3B94F3E0-1A10-FB4D-929A-C1156ECFADEC}"/>
    <hyperlink ref="A38" r:id="rId36" display="https://dane.meteomodel.pl/view/hourly_summary?station=352200375&amp;from=2025-08-05&amp;to=2025-08-05" xr:uid="{7CCD2CF5-BA58-3843-97C3-C8A257CE0C37}"/>
    <hyperlink ref="A39" r:id="rId37" display="https://dane.meteomodel.pl/view/hourly_summary?station=352200375&amp;from=2025-08-06&amp;to=2025-08-06" xr:uid="{A9A7CB78-3550-B145-92BB-D03E633C63DC}"/>
    <hyperlink ref="A40" r:id="rId38" display="https://dane.meteomodel.pl/view/hourly_summary?station=352200375&amp;from=2025-08-07&amp;to=2025-08-07" xr:uid="{93CDA8E9-6439-0D4C-9D87-C9C2B3CBE576}"/>
    <hyperlink ref="A41" r:id="rId39" display="https://dane.meteomodel.pl/view/hourly_summary?station=352200375&amp;from=2025-08-08&amp;to=2025-08-08" xr:uid="{76B5F26A-A9B4-C747-A1B2-3CD237241D18}"/>
    <hyperlink ref="A42" r:id="rId40" display="https://dane.meteomodel.pl/view/hourly_summary?station=352200375&amp;from=2025-08-09&amp;to=2025-08-09" xr:uid="{B189B955-17CF-7448-ACAE-C52EA83DEE01}"/>
    <hyperlink ref="A43" r:id="rId41" display="https://dane.meteomodel.pl/view/hourly_summary?station=352200375&amp;from=2025-08-10&amp;to=2025-08-10" xr:uid="{C6EA88C9-EA30-4348-955E-1CFE939D5045}"/>
    <hyperlink ref="A44" r:id="rId42" display="https://dane.meteomodel.pl/view/hourly_summary?station=352200375&amp;from=2025-08-11&amp;to=2025-08-11" xr:uid="{855CF6E5-961E-0542-AF40-63BCEAF3058D}"/>
    <hyperlink ref="A45" r:id="rId43" display="https://dane.meteomodel.pl/view/hourly_summary?station=352200375&amp;from=2025-08-12&amp;to=2025-08-12" xr:uid="{9725229A-DEB2-AB4C-9049-010FBCFCB6E3}"/>
    <hyperlink ref="A46" r:id="rId44" display="https://dane.meteomodel.pl/view/hourly_summary?station=352200375&amp;from=2025-08-13&amp;to=2025-08-13" xr:uid="{ED2416D5-F18C-0D44-ABB1-039001494564}"/>
    <hyperlink ref="A47" r:id="rId45" display="https://dane.meteomodel.pl/view/hourly_summary?station=352200375&amp;from=2025-08-14&amp;to=2025-08-14" xr:uid="{7E717FB1-6AE6-B446-9870-9256DDF25636}"/>
    <hyperlink ref="A48" r:id="rId46" display="https://dane.meteomodel.pl/view/hourly_summary?station=352200375&amp;from=2025-08-15&amp;to=2025-08-15" xr:uid="{1A4E4E33-D4E4-A948-9962-ED7108F376C7}"/>
    <hyperlink ref="A49" r:id="rId47" display="https://dane.meteomodel.pl/view/hourly_summary?station=352200375&amp;from=2025-08-16&amp;to=2025-08-16" xr:uid="{378B2F30-898D-2B48-9F79-7F5FD0AE56C1}"/>
    <hyperlink ref="A50" r:id="rId48" display="https://dane.meteomodel.pl/view/hourly_summary?station=352200375&amp;from=2025-08-17&amp;to=2025-08-17" xr:uid="{F8A80C5A-A00E-9E4A-8B47-B37076A0BA63}"/>
    <hyperlink ref="A51" r:id="rId49" display="https://dane.meteomodel.pl/view/hourly_summary?station=352200375&amp;from=2025-08-18&amp;to=2025-08-18" xr:uid="{00B56AB9-78C8-5F4F-A2FF-C4E603C9500C}"/>
    <hyperlink ref="A52" r:id="rId50" display="https://dane.meteomodel.pl/view/hourly_summary?station=352200375&amp;from=2025-08-19&amp;to=2025-08-19" xr:uid="{23B029F8-ECC1-8347-BC90-F1B818D2B5B5}"/>
    <hyperlink ref="A53" r:id="rId51" display="https://dane.meteomodel.pl/view/hourly_summary?station=352200375&amp;from=2025-08-20&amp;to=2025-08-20" xr:uid="{24FBDBE0-1A4A-F44F-97E1-147D24AE2302}"/>
    <hyperlink ref="A54" r:id="rId52" display="https://dane.meteomodel.pl/view/hourly_summary?station=352200375&amp;from=2025-08-21&amp;to=2025-08-21" xr:uid="{9AD7D8DC-AC1C-684A-B11F-6776A4C1BC98}"/>
    <hyperlink ref="A55" r:id="rId53" display="https://dane.meteomodel.pl/view/hourly_summary?station=352200375&amp;from=2025-08-22&amp;to=2025-08-22" xr:uid="{C007F35C-680B-6F40-8C9F-23E2F9EEAB02}"/>
    <hyperlink ref="A56" r:id="rId54" display="https://dane.meteomodel.pl/view/hourly_summary?station=352200375&amp;from=2025-08-23&amp;to=2025-08-23" xr:uid="{C5C9C902-02F5-6D4B-8DAA-171BE640ACAD}"/>
    <hyperlink ref="A57" r:id="rId55" display="https://dane.meteomodel.pl/view/hourly_summary?station=352200375&amp;from=2025-08-24&amp;to=2025-08-24" xr:uid="{0032C828-3D0E-2848-8768-C98AAB844F9F}"/>
    <hyperlink ref="A58" r:id="rId56" display="https://dane.meteomodel.pl/view/hourly_summary?station=352200375&amp;from=2025-08-25&amp;to=2025-08-25" xr:uid="{FAA34F10-99A7-8D47-ACF2-873FA5CBB6D1}"/>
    <hyperlink ref="A59" r:id="rId57" display="https://dane.meteomodel.pl/view/hourly_summary?station=352200375&amp;from=2025-08-26&amp;to=2025-08-26" xr:uid="{4B27B6A7-A11F-DB47-AD5A-7C060C248016}"/>
    <hyperlink ref="A60" r:id="rId58" display="https://dane.meteomodel.pl/view/hourly_summary?station=352200375&amp;from=2025-08-27&amp;to=2025-08-27" xr:uid="{36797D85-C22B-1A4F-9FB1-7FDBE46EC177}"/>
    <hyperlink ref="A61" r:id="rId59" display="https://dane.meteomodel.pl/view/hourly_summary?station=352200375&amp;from=2025-08-28&amp;to=2025-08-28" xr:uid="{7448F526-0081-F344-BDBF-331D2CD82362}"/>
    <hyperlink ref="A62" r:id="rId60" display="https://dane.meteomodel.pl/view/hourly_summary?station=352200375&amp;from=2025-08-29&amp;to=2025-08-29" xr:uid="{41D6F9E3-1567-7746-82C1-70B6ACC4116C}"/>
    <hyperlink ref="A63" r:id="rId61" display="https://dane.meteomodel.pl/view/hourly_summary?station=352200375&amp;from=2025-08-30&amp;to=2025-08-30" xr:uid="{BFB70E99-C545-1545-A8C2-09907CAA6421}"/>
    <hyperlink ref="A64" r:id="rId62" display="https://dane.meteomodel.pl/view/hourly_summary?station=352200375&amp;from=2025-08-31&amp;to=2025-08-31" xr:uid="{2FC4AC1D-318D-3849-AC04-64F6B70198DA}"/>
    <hyperlink ref="H1" r:id="rId63" xr:uid="{0551C016-5424-4747-8F8A-6A9D64DB4783}"/>
  </hyperlinks>
  <pageMargins left="0.7" right="0.7" top="0.75" bottom="0.75" header="0.3" footer="0.3"/>
  <drawing r:id="rId6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A7AB4-04D1-AC44-A3D2-D569FBA5C614}">
  <dimension ref="H2"/>
  <sheetViews>
    <sheetView workbookViewId="0">
      <selection activeCell="N13" sqref="N13"/>
    </sheetView>
  </sheetViews>
  <sheetFormatPr baseColWidth="10" defaultRowHeight="16" x14ac:dyDescent="0.2"/>
  <sheetData>
    <row r="2" spans="8:8" x14ac:dyDescent="0.2">
      <c r="H2" t="s">
        <v>31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Dane obliczenia Tmax Warszawa</vt:lpstr>
      <vt:lpstr>dane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ewelina.niewczas@outlook.com</dc:creator>
  <cp:lastModifiedBy>ewelina.niewczas@outlook.com</cp:lastModifiedBy>
  <dcterms:created xsi:type="dcterms:W3CDTF">2025-12-01T18:42:58Z</dcterms:created>
  <dcterms:modified xsi:type="dcterms:W3CDTF">2026-04-05T20:48:54Z</dcterms:modified>
</cp:coreProperties>
</file>